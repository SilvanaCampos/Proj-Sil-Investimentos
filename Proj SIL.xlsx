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 CURSOS 2025\Nova pasta\Proj-SIL-Investimentos\"/>
    </mc:Choice>
  </mc:AlternateContent>
  <xr:revisionPtr revIDLastSave="0" documentId="13_ncr:1_{59491425-B82F-4B91-B2DD-E24B919F1C1D}" xr6:coauthVersionLast="46" xr6:coauthVersionMax="46" xr10:uidLastSave="{00000000-0000-0000-0000-000000000000}"/>
  <bookViews>
    <workbookView xWindow="-120" yWindow="-120" windowWidth="20730" windowHeight="11160" tabRatio="545" xr2:uid="{9950F889-0AC9-4D0D-BA36-A7D0B3E6EAF7}"/>
  </bookViews>
  <sheets>
    <sheet name="Entrada" sheetId="1" r:id="rId1"/>
    <sheet name="Simulacao" sheetId="2" r:id="rId2"/>
  </sheets>
  <definedNames>
    <definedName name="_xlnm._FilterDatabase" localSheetId="1" hidden="1">Simulacao!$B$12:$G$132</definedName>
    <definedName name="aporte_mensal">Entrada!$E$13</definedName>
    <definedName name="meses">Entrada!$E$16</definedName>
    <definedName name="patrimonio_acumulado">Entrada!$E$21</definedName>
    <definedName name="rendimento_carteira">Entrada!$E$15</definedName>
    <definedName name="taxa">Entrada!$E$14</definedName>
    <definedName name="valor_inicial">Entrada!$E$12</definedName>
    <definedName name="ValorTotalInvestido">Entrada!$E$20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  <c r="E20" i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D13" i="2"/>
  <c r="E13" i="2" s="1"/>
  <c r="E22" i="1" l="1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F13" i="2" l="1"/>
  <c r="G13" i="2" s="1"/>
  <c r="E23" i="1" l="1"/>
  <c r="D14" i="2"/>
  <c r="E14" i="2" l="1"/>
  <c r="F14" i="2" s="1"/>
  <c r="G14" i="2" s="1"/>
  <c r="D15" i="2" l="1"/>
  <c r="E15" i="2" s="1"/>
  <c r="F15" i="2" s="1"/>
  <c r="G15" i="2" s="1"/>
  <c r="D16" i="2" l="1"/>
  <c r="E16" i="2" s="1"/>
  <c r="F16" i="2" s="1"/>
  <c r="G16" i="2" s="1"/>
  <c r="D17" i="2" l="1"/>
  <c r="E17" i="2" s="1"/>
  <c r="F17" i="2" s="1"/>
  <c r="G17" i="2" s="1"/>
  <c r="D18" i="2" l="1"/>
  <c r="E18" i="2" l="1"/>
  <c r="F18" i="2" s="1"/>
  <c r="G18" i="2" s="1"/>
  <c r="D19" i="2" l="1"/>
  <c r="E19" i="2" s="1"/>
  <c r="F19" i="2" s="1"/>
  <c r="G19" i="2" s="1"/>
  <c r="D20" i="2" l="1"/>
  <c r="E20" i="2" s="1"/>
  <c r="F20" i="2" s="1"/>
  <c r="G20" i="2" s="1"/>
  <c r="D21" i="2" l="1"/>
  <c r="E21" i="2" s="1"/>
  <c r="F21" i="2" s="1"/>
  <c r="G21" i="2" s="1"/>
  <c r="D22" i="2" l="1"/>
  <c r="E22" i="2" s="1"/>
  <c r="F22" i="2" s="1"/>
  <c r="G22" i="2" s="1"/>
  <c r="D23" i="2" l="1"/>
  <c r="E23" i="2" l="1"/>
  <c r="F23" i="2" s="1"/>
  <c r="G23" i="2" s="1"/>
  <c r="D24" i="2" l="1"/>
  <c r="E24" i="2" l="1"/>
  <c r="E30" i="1" s="1"/>
  <c r="F24" i="2" l="1"/>
  <c r="D30" i="1" s="1"/>
  <c r="F30" i="1" l="1"/>
  <c r="G24" i="2"/>
  <c r="D25" i="2"/>
  <c r="E25" i="2" s="1"/>
  <c r="F25" i="2" s="1"/>
  <c r="D26" i="2" s="1"/>
  <c r="E26" i="2" s="1"/>
  <c r="F26" i="2" s="1"/>
  <c r="G25" i="2" l="1"/>
  <c r="D27" i="2"/>
  <c r="E27" i="2" s="1"/>
  <c r="F27" i="2" s="1"/>
  <c r="G26" i="2"/>
  <c r="D28" i="2" l="1"/>
  <c r="E28" i="2" s="1"/>
  <c r="F28" i="2" s="1"/>
  <c r="G27" i="2"/>
  <c r="D29" i="2" l="1"/>
  <c r="E29" i="2" s="1"/>
  <c r="F29" i="2" s="1"/>
  <c r="G28" i="2"/>
  <c r="D30" i="2" l="1"/>
  <c r="E30" i="2" s="1"/>
  <c r="F30" i="2" s="1"/>
  <c r="G29" i="2"/>
  <c r="G30" i="2" l="1"/>
  <c r="D31" i="2"/>
  <c r="E31" i="2" l="1"/>
  <c r="F31" i="2" s="1"/>
  <c r="G31" i="2" l="1"/>
  <c r="D32" i="2"/>
  <c r="E32" i="2" s="1"/>
  <c r="F32" i="2" s="1"/>
  <c r="G32" i="2" l="1"/>
  <c r="D33" i="2"/>
  <c r="E33" i="2" s="1"/>
  <c r="F33" i="2" s="1"/>
  <c r="D34" i="2" l="1"/>
  <c r="G33" i="2"/>
  <c r="E34" i="2" l="1"/>
  <c r="F34" i="2" s="1"/>
  <c r="D35" i="2" l="1"/>
  <c r="E35" i="2" s="1"/>
  <c r="F35" i="2" s="1"/>
  <c r="G34" i="2"/>
  <c r="G35" i="2" l="1"/>
  <c r="D36" i="2"/>
  <c r="E36" i="2" l="1"/>
  <c r="E31" i="1" s="1"/>
  <c r="F36" i="2" l="1"/>
  <c r="D31" i="1" l="1"/>
  <c r="F31" i="1" s="1"/>
  <c r="D37" i="2"/>
  <c r="E37" i="2" s="1"/>
  <c r="F37" i="2" s="1"/>
  <c r="D38" i="2" s="1"/>
  <c r="E38" i="2" s="1"/>
  <c r="F38" i="2" s="1"/>
  <c r="G36" i="2"/>
  <c r="G37" i="2" l="1"/>
  <c r="G38" i="2"/>
  <c r="D39" i="2"/>
  <c r="E39" i="2" s="1"/>
  <c r="F39" i="2" s="1"/>
  <c r="G39" i="2" l="1"/>
  <c r="D40" i="2"/>
  <c r="E40" i="2" s="1"/>
  <c r="F40" i="2" s="1"/>
  <c r="D41" i="2" l="1"/>
  <c r="E41" i="2" s="1"/>
  <c r="F41" i="2" s="1"/>
  <c r="G40" i="2"/>
  <c r="D42" i="2" l="1"/>
  <c r="G41" i="2"/>
  <c r="E42" i="2" l="1"/>
  <c r="F42" i="2" s="1"/>
  <c r="G42" i="2" l="1"/>
  <c r="D43" i="2"/>
  <c r="E43" i="2" s="1"/>
  <c r="F43" i="2" s="1"/>
  <c r="G43" i="2" l="1"/>
  <c r="D44" i="2"/>
  <c r="E44" i="2" s="1"/>
  <c r="F44" i="2" s="1"/>
  <c r="D45" i="2" l="1"/>
  <c r="E45" i="2" s="1"/>
  <c r="F45" i="2" s="1"/>
  <c r="G44" i="2"/>
  <c r="D46" i="2" l="1"/>
  <c r="E46" i="2" s="1"/>
  <c r="F46" i="2" s="1"/>
  <c r="G45" i="2"/>
  <c r="G46" i="2" l="1"/>
  <c r="D47" i="2"/>
  <c r="E47" i="2" l="1"/>
  <c r="F47" i="2" s="1"/>
  <c r="G47" i="2" l="1"/>
  <c r="D48" i="2"/>
  <c r="E48" i="2" s="1"/>
  <c r="F48" i="2" s="1"/>
  <c r="D49" i="2" l="1"/>
  <c r="G48" i="2"/>
  <c r="E49" i="2" l="1"/>
  <c r="F49" i="2" s="1"/>
  <c r="G49" i="2" l="1"/>
  <c r="D50" i="2"/>
  <c r="E50" i="2" s="1"/>
  <c r="F50" i="2" s="1"/>
  <c r="G50" i="2" l="1"/>
  <c r="D51" i="2"/>
  <c r="E51" i="2" s="1"/>
  <c r="F51" i="2" s="1"/>
  <c r="G51" i="2" l="1"/>
  <c r="D52" i="2"/>
  <c r="E52" i="2" s="1"/>
  <c r="F52" i="2" s="1"/>
  <c r="G52" i="2" l="1"/>
  <c r="D53" i="2"/>
  <c r="E53" i="2" s="1"/>
  <c r="F53" i="2" s="1"/>
  <c r="D54" i="2" l="1"/>
  <c r="G53" i="2"/>
  <c r="E54" i="2" l="1"/>
  <c r="F54" i="2" s="1"/>
  <c r="D55" i="2" l="1"/>
  <c r="E55" i="2" s="1"/>
  <c r="F55" i="2" s="1"/>
  <c r="G54" i="2"/>
  <c r="G55" i="2" l="1"/>
  <c r="D56" i="2"/>
  <c r="E56" i="2" l="1"/>
  <c r="F56" i="2" s="1"/>
  <c r="D57" i="2" l="1"/>
  <c r="E57" i="2" s="1"/>
  <c r="F57" i="2" s="1"/>
  <c r="G56" i="2"/>
  <c r="D58" i="2" l="1"/>
  <c r="E58" i="2" s="1"/>
  <c r="F58" i="2" s="1"/>
  <c r="G57" i="2"/>
  <c r="D59" i="2" l="1"/>
  <c r="E59" i="2" s="1"/>
  <c r="F59" i="2" s="1"/>
  <c r="G58" i="2"/>
  <c r="G59" i="2" l="1"/>
  <c r="D60" i="2"/>
  <c r="E60" i="2" s="1"/>
  <c r="F60" i="2" s="1"/>
  <c r="G60" i="2" l="1"/>
  <c r="D61" i="2"/>
  <c r="E61" i="2" s="1"/>
  <c r="F61" i="2" s="1"/>
  <c r="D62" i="2" l="1"/>
  <c r="E62" i="2" s="1"/>
  <c r="F62" i="2" s="1"/>
  <c r="G61" i="2"/>
  <c r="D63" i="2" l="1"/>
  <c r="E63" i="2" s="1"/>
  <c r="F63" i="2" s="1"/>
  <c r="G62" i="2"/>
  <c r="G63" i="2" l="1"/>
  <c r="D64" i="2"/>
  <c r="E64" i="2" s="1"/>
  <c r="F64" i="2" s="1"/>
  <c r="D65" i="2" l="1"/>
  <c r="G64" i="2"/>
  <c r="E65" i="2" l="1"/>
  <c r="F65" i="2" s="1"/>
  <c r="D66" i="2" l="1"/>
  <c r="E66" i="2" s="1"/>
  <c r="F66" i="2" s="1"/>
  <c r="G65" i="2"/>
  <c r="G66" i="2" l="1"/>
  <c r="D67" i="2"/>
  <c r="E67" i="2" s="1"/>
  <c r="F67" i="2" s="1"/>
  <c r="G67" i="2" l="1"/>
  <c r="D68" i="2"/>
  <c r="E68" i="2" s="1"/>
  <c r="F68" i="2" s="1"/>
  <c r="D69" i="2" l="1"/>
  <c r="G68" i="2"/>
  <c r="E69" i="2" l="1"/>
  <c r="F69" i="2" s="1"/>
  <c r="D70" i="2" l="1"/>
  <c r="E70" i="2" s="1"/>
  <c r="F70" i="2" s="1"/>
  <c r="G69" i="2"/>
  <c r="G70" i="2" l="1"/>
  <c r="D71" i="2"/>
  <c r="E71" i="2" s="1"/>
  <c r="F71" i="2" s="1"/>
  <c r="G71" i="2" l="1"/>
  <c r="D72" i="2"/>
  <c r="E72" i="2" s="1"/>
  <c r="E32" i="1" s="1"/>
  <c r="F72" i="2" l="1"/>
  <c r="D32" i="1" s="1"/>
  <c r="D73" i="2" l="1"/>
  <c r="F32" i="1"/>
  <c r="G72" i="2"/>
  <c r="E73" i="2" l="1"/>
  <c r="F73" i="2" s="1"/>
  <c r="G73" i="2" l="1"/>
  <c r="D74" i="2"/>
  <c r="E74" i="2" s="1"/>
  <c r="F74" i="2" s="1"/>
  <c r="D75" i="2" l="1"/>
  <c r="G74" i="2"/>
  <c r="E75" i="2" l="1"/>
  <c r="F75" i="2" s="1"/>
  <c r="G75" i="2" l="1"/>
  <c r="D76" i="2"/>
  <c r="E76" i="2" s="1"/>
  <c r="F76" i="2" s="1"/>
  <c r="G76" i="2" l="1"/>
  <c r="D77" i="2"/>
  <c r="E77" i="2" l="1"/>
  <c r="F77" i="2" s="1"/>
  <c r="D78" i="2" l="1"/>
  <c r="E78" i="2" s="1"/>
  <c r="F78" i="2" s="1"/>
  <c r="G77" i="2"/>
  <c r="D79" i="2" l="1"/>
  <c r="E79" i="2" s="1"/>
  <c r="F79" i="2" s="1"/>
  <c r="G78" i="2"/>
  <c r="G79" i="2" l="1"/>
  <c r="D80" i="2"/>
  <c r="E80" i="2" s="1"/>
  <c r="F80" i="2" s="1"/>
  <c r="D81" i="2" l="1"/>
  <c r="G80" i="2"/>
  <c r="E81" i="2" l="1"/>
  <c r="F81" i="2" s="1"/>
  <c r="G81" i="2" l="1"/>
  <c r="D82" i="2"/>
  <c r="E82" i="2" l="1"/>
  <c r="F82" i="2" s="1"/>
  <c r="G82" i="2" l="1"/>
  <c r="D83" i="2"/>
  <c r="E83" i="2" l="1"/>
  <c r="F83" i="2" s="1"/>
  <c r="D84" i="2" l="1"/>
  <c r="G83" i="2"/>
  <c r="E84" i="2" l="1"/>
  <c r="F84" i="2" s="1"/>
  <c r="G84" i="2" l="1"/>
  <c r="D85" i="2"/>
  <c r="E85" i="2" s="1"/>
  <c r="F85" i="2" s="1"/>
  <c r="G85" i="2" l="1"/>
  <c r="D86" i="2"/>
  <c r="E86" i="2" l="1"/>
  <c r="F86" i="2" s="1"/>
  <c r="D87" i="2" l="1"/>
  <c r="G86" i="2"/>
  <c r="E87" i="2" l="1"/>
  <c r="F87" i="2" s="1"/>
  <c r="G87" i="2" l="1"/>
  <c r="D88" i="2"/>
  <c r="E88" i="2" l="1"/>
  <c r="F88" i="2" s="1"/>
  <c r="D89" i="2" l="1"/>
  <c r="G88" i="2"/>
  <c r="E89" i="2" l="1"/>
  <c r="F89" i="2" s="1"/>
  <c r="G89" i="2" l="1"/>
  <c r="D90" i="2"/>
  <c r="E90" i="2" l="1"/>
  <c r="F90" i="2" s="1"/>
  <c r="G90" i="2" l="1"/>
  <c r="D91" i="2"/>
  <c r="E91" i="2" s="1"/>
  <c r="F91" i="2" s="1"/>
  <c r="D92" i="2" l="1"/>
  <c r="E92" i="2" s="1"/>
  <c r="F92" i="2" s="1"/>
  <c r="G91" i="2"/>
  <c r="G92" i="2" l="1"/>
  <c r="D93" i="2"/>
  <c r="E93" i="2" s="1"/>
  <c r="F93" i="2" s="1"/>
  <c r="G93" i="2" l="1"/>
  <c r="D94" i="2"/>
  <c r="E94" i="2" s="1"/>
  <c r="F94" i="2" s="1"/>
  <c r="D95" i="2" l="1"/>
  <c r="G94" i="2"/>
  <c r="E95" i="2" l="1"/>
  <c r="F95" i="2" s="1"/>
  <c r="G95" i="2" l="1"/>
  <c r="D96" i="2"/>
  <c r="E96" i="2" s="1"/>
  <c r="F96" i="2" s="1"/>
  <c r="D97" i="2" l="1"/>
  <c r="E97" i="2" s="1"/>
  <c r="F97" i="2" s="1"/>
  <c r="G96" i="2"/>
  <c r="G97" i="2" l="1"/>
  <c r="D98" i="2"/>
  <c r="E98" i="2" s="1"/>
  <c r="F98" i="2" s="1"/>
  <c r="G98" i="2" l="1"/>
  <c r="D99" i="2"/>
  <c r="E99" i="2" s="1"/>
  <c r="F99" i="2" s="1"/>
  <c r="D100" i="2" l="1"/>
  <c r="G99" i="2"/>
  <c r="E100" i="2" l="1"/>
  <c r="F100" i="2" s="1"/>
  <c r="G100" i="2" l="1"/>
  <c r="D101" i="2"/>
  <c r="E101" i="2" s="1"/>
  <c r="F101" i="2" s="1"/>
  <c r="D102" i="2" l="1"/>
  <c r="G101" i="2"/>
  <c r="E102" i="2" l="1"/>
  <c r="F102" i="2" s="1"/>
  <c r="D103" i="2" l="1"/>
  <c r="G102" i="2"/>
  <c r="E103" i="2" l="1"/>
  <c r="F103" i="2" s="1"/>
  <c r="G103" i="2" l="1"/>
  <c r="D104" i="2"/>
  <c r="E104" i="2" l="1"/>
  <c r="F104" i="2" s="1"/>
  <c r="D105" i="2" l="1"/>
  <c r="G104" i="2"/>
  <c r="E105" i="2" l="1"/>
  <c r="F105" i="2" s="1"/>
  <c r="G105" i="2" l="1"/>
  <c r="D106" i="2"/>
  <c r="E106" i="2" l="1"/>
  <c r="F106" i="2" s="1"/>
  <c r="G106" i="2" l="1"/>
  <c r="D107" i="2"/>
  <c r="E107" i="2" l="1"/>
  <c r="F107" i="2" s="1"/>
  <c r="D108" i="2" l="1"/>
  <c r="G107" i="2"/>
  <c r="E108" i="2" l="1"/>
  <c r="F108" i="2" s="1"/>
  <c r="G108" i="2" l="1"/>
  <c r="D109" i="2"/>
  <c r="E109" i="2" s="1"/>
  <c r="F109" i="2" s="1"/>
  <c r="G109" i="2" l="1"/>
  <c r="D110" i="2"/>
  <c r="E110" i="2" s="1"/>
  <c r="F110" i="2" s="1"/>
  <c r="D111" i="2" l="1"/>
  <c r="G110" i="2"/>
  <c r="E111" i="2" l="1"/>
  <c r="F111" i="2" s="1"/>
  <c r="G111" i="2" l="1"/>
  <c r="D112" i="2"/>
  <c r="E112" i="2" s="1"/>
  <c r="F112" i="2" s="1"/>
  <c r="D113" i="2" l="1"/>
  <c r="G112" i="2"/>
  <c r="E113" i="2" l="1"/>
  <c r="F113" i="2" s="1"/>
  <c r="G113" i="2" l="1"/>
  <c r="D114" i="2"/>
  <c r="E114" i="2" s="1"/>
  <c r="F114" i="2" s="1"/>
  <c r="G114" i="2" l="1"/>
  <c r="D115" i="2"/>
  <c r="E115" i="2" l="1"/>
  <c r="F115" i="2" s="1"/>
  <c r="G115" i="2" l="1"/>
  <c r="D116" i="2"/>
  <c r="E116" i="2" l="1"/>
  <c r="F116" i="2" s="1"/>
  <c r="G116" i="2" l="1"/>
  <c r="D117" i="2"/>
  <c r="E117" i="2" s="1"/>
  <c r="F117" i="2" s="1"/>
  <c r="D118" i="2" l="1"/>
  <c r="G117" i="2"/>
  <c r="E118" i="2" l="1"/>
  <c r="F118" i="2" s="1"/>
  <c r="G118" i="2" l="1"/>
  <c r="D119" i="2"/>
  <c r="E119" i="2" l="1"/>
  <c r="F119" i="2" s="1"/>
  <c r="G119" i="2" l="1"/>
  <c r="D120" i="2"/>
  <c r="E120" i="2" l="1"/>
  <c r="F120" i="2" s="1"/>
  <c r="G120" i="2" l="1"/>
  <c r="D121" i="2"/>
  <c r="E121" i="2" l="1"/>
  <c r="F121" i="2" s="1"/>
  <c r="G121" i="2" l="1"/>
  <c r="D122" i="2"/>
  <c r="E122" i="2" l="1"/>
  <c r="F122" i="2" s="1"/>
  <c r="G122" i="2" l="1"/>
  <c r="D123" i="2"/>
  <c r="E123" i="2" l="1"/>
  <c r="F123" i="2" s="1"/>
  <c r="G123" i="2" l="1"/>
  <c r="D124" i="2"/>
  <c r="E124" i="2" l="1"/>
  <c r="F124" i="2" s="1"/>
  <c r="D125" i="2" l="1"/>
  <c r="E125" i="2" s="1"/>
  <c r="F125" i="2" s="1"/>
  <c r="G124" i="2"/>
  <c r="G125" i="2" l="1"/>
  <c r="D126" i="2"/>
  <c r="E126" i="2" l="1"/>
  <c r="F126" i="2" s="1"/>
  <c r="D127" i="2" l="1"/>
  <c r="G126" i="2"/>
  <c r="E127" i="2" l="1"/>
  <c r="F127" i="2" s="1"/>
  <c r="G127" i="2" l="1"/>
  <c r="D128" i="2"/>
  <c r="E128" i="2" l="1"/>
  <c r="F128" i="2" s="1"/>
  <c r="D129" i="2" l="1"/>
  <c r="E129" i="2" s="1"/>
  <c r="F129" i="2" s="1"/>
  <c r="G128" i="2"/>
  <c r="G129" i="2" l="1"/>
  <c r="D130" i="2"/>
  <c r="E130" i="2" l="1"/>
  <c r="F130" i="2" s="1"/>
  <c r="G130" i="2" l="1"/>
  <c r="D131" i="2"/>
  <c r="E131" i="2" l="1"/>
  <c r="F131" i="2" s="1"/>
  <c r="G131" i="2" l="1"/>
  <c r="D132" i="2"/>
  <c r="E132" i="2" l="1"/>
  <c r="E33" i="1" s="1"/>
  <c r="F132" i="2" l="1"/>
  <c r="D33" i="1" s="1"/>
  <c r="G132" i="2" l="1"/>
  <c r="F33" i="1"/>
</calcChain>
</file>

<file path=xl/sharedStrings.xml><?xml version="1.0" encoding="utf-8"?>
<sst xmlns="http://schemas.openxmlformats.org/spreadsheetml/2006/main" count="29" uniqueCount="25">
  <si>
    <t>Valor inicial investido</t>
  </si>
  <si>
    <t>Aportes mensais</t>
  </si>
  <si>
    <t>Taxa de rendimento mensal (%)</t>
  </si>
  <si>
    <t>Valor total investido</t>
  </si>
  <si>
    <t>Patrimônio acumulado</t>
  </si>
  <si>
    <t>Dividendos mensais estimados</t>
  </si>
  <si>
    <t>ENTRADA DE DADOS</t>
  </si>
  <si>
    <t>MÊS</t>
  </si>
  <si>
    <t>APORTE</t>
  </si>
  <si>
    <t>PATRIMÔNIO INICIAL</t>
  </si>
  <si>
    <t>RENDIMENTO</t>
  </si>
  <si>
    <t>PATRIMÔNIO ACUMULADO</t>
  </si>
  <si>
    <t>Rendimento da Carteira</t>
  </si>
  <si>
    <t>Em 1 ano</t>
  </si>
  <si>
    <t>Em 2 anos</t>
  </si>
  <si>
    <t>Em 5 anos</t>
  </si>
  <si>
    <t>INVESTIMENTO FINAL</t>
  </si>
  <si>
    <t>Período de investimento (em meses)</t>
  </si>
  <si>
    <t>Retorno Percentual</t>
  </si>
  <si>
    <t>PERÍODO</t>
  </si>
  <si>
    <t>Em 10 anos</t>
  </si>
  <si>
    <t>EVOLUÇÃO DE PATRIMÔNIO</t>
  </si>
  <si>
    <t>EVOLUÇÃO DO PATRIMÔNIO - MENSAL</t>
  </si>
  <si>
    <t>B24</t>
  </si>
  <si>
    <t>DIVIDENDO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</si>
</sst>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4" tint="-0.499984740745262"/>
      <name val="Arial"/>
      <family val="2"/>
    </font>
    <font>
      <b/>
      <sz val="16"/>
      <color theme="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8" tint="-0.499984740745262"/>
      <name val="Arial"/>
      <family val="2"/>
    </font>
    <font>
      <sz val="11"/>
      <color theme="8" tint="-0.499984740745262"/>
      <name val="Arial"/>
      <family val="2"/>
    </font>
    <font>
      <b/>
      <sz val="16"/>
      <color theme="0"/>
      <name val="Arial7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medium">
        <color theme="8" tint="-0.24994659260841701"/>
      </left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/>
      <bottom/>
      <diagonal/>
    </border>
    <border>
      <left/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/>
      <diagonal/>
    </border>
    <border>
      <left/>
      <right/>
      <top/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8" tint="-0.499984740745262"/>
      </right>
      <top/>
      <bottom style="thin">
        <color theme="0"/>
      </bottom>
      <diagonal/>
    </border>
    <border>
      <left style="medium">
        <color theme="8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8" tint="-0.499984740745262"/>
      </right>
      <top style="thin">
        <color theme="0"/>
      </top>
      <bottom style="thin">
        <color theme="0"/>
      </bottom>
      <diagonal/>
    </border>
    <border>
      <left style="medium">
        <color theme="8" tint="-0.499984740745262"/>
      </left>
      <right style="thin">
        <color theme="0"/>
      </right>
      <top style="thin">
        <color theme="0"/>
      </top>
      <bottom style="medium">
        <color theme="8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8" tint="-0.499984740745262"/>
      </bottom>
      <diagonal/>
    </border>
    <border>
      <left style="thin">
        <color theme="0"/>
      </left>
      <right style="medium">
        <color theme="8" tint="-0.499984740745262"/>
      </right>
      <top style="thin">
        <color theme="0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8" tint="-0.499984740745262"/>
      </right>
      <top style="thin">
        <color theme="0"/>
      </top>
      <bottom/>
      <diagonal/>
    </border>
    <border>
      <left style="medium">
        <color theme="8" tint="-0.499984740745262"/>
      </left>
      <right style="thin">
        <color theme="0" tint="-4.9989318521683403E-2"/>
      </right>
      <top style="medium">
        <color theme="8" tint="-0.49998474074526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8" tint="-0.49998474074526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8" tint="-0.499984740745262"/>
      </right>
      <top style="medium">
        <color theme="8" tint="-0.499984740745262"/>
      </top>
      <bottom style="thin">
        <color theme="0" tint="-4.9989318521683403E-2"/>
      </bottom>
      <diagonal/>
    </border>
    <border>
      <left style="medium">
        <color theme="8" tint="-0.49998474074526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8" tint="-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8" tint="-0.499984740745262"/>
      </left>
      <right style="thin">
        <color theme="0" tint="-4.9989318521683403E-2"/>
      </right>
      <top style="thin">
        <color theme="0" tint="-4.9989318521683403E-2"/>
      </top>
      <bottom style="medium">
        <color theme="8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8" tint="-0.499984740745262"/>
      </bottom>
      <diagonal/>
    </border>
    <border>
      <left style="thin">
        <color theme="0" tint="-4.9989318521683403E-2"/>
      </left>
      <right style="medium">
        <color theme="8" tint="-0.499984740745262"/>
      </right>
      <top style="thin">
        <color theme="0" tint="-4.9989318521683403E-2"/>
      </top>
      <bottom style="medium">
        <color theme="8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10" fontId="4" fillId="2" borderId="0" xfId="0" applyNumberFormat="1" applyFont="1" applyFill="1"/>
    <xf numFmtId="0" fontId="0" fillId="0" borderId="0" xfId="0" applyAlignment="1">
      <alignment horizontal="center" vertical="center" wrapText="1"/>
    </xf>
    <xf numFmtId="0" fontId="5" fillId="2" borderId="0" xfId="0" applyFont="1" applyFill="1" applyAlignment="1">
      <alignment horizontal="left" vertical="center" indent="2"/>
    </xf>
    <xf numFmtId="164" fontId="6" fillId="0" borderId="0" xfId="0" applyNumberFormat="1" applyFont="1"/>
    <xf numFmtId="164" fontId="0" fillId="0" borderId="0" xfId="1" applyNumberFormat="1" applyFont="1"/>
    <xf numFmtId="164" fontId="7" fillId="2" borderId="0" xfId="0" applyNumberFormat="1" applyFont="1" applyFill="1"/>
    <xf numFmtId="0" fontId="3" fillId="2" borderId="3" xfId="0" applyFont="1" applyFill="1" applyBorder="1"/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0" fillId="0" borderId="0" xfId="0" applyFont="1"/>
    <xf numFmtId="0" fontId="11" fillId="3" borderId="2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0" xfId="0" applyFont="1"/>
    <xf numFmtId="0" fontId="13" fillId="4" borderId="1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164" fontId="14" fillId="4" borderId="11" xfId="0" applyNumberFormat="1" applyFont="1" applyFill="1" applyBorder="1" applyAlignment="1">
      <alignment horizontal="center" vertical="center"/>
    </xf>
    <xf numFmtId="164" fontId="14" fillId="4" borderId="12" xfId="0" applyNumberFormat="1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164" fontId="14" fillId="4" borderId="14" xfId="0" applyNumberFormat="1" applyFont="1" applyFill="1" applyBorder="1" applyAlignment="1">
      <alignment horizontal="center" vertical="center"/>
    </xf>
    <xf numFmtId="164" fontId="14" fillId="4" borderId="15" xfId="0" applyNumberFormat="1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164" fontId="14" fillId="4" borderId="20" xfId="0" applyNumberFormat="1" applyFont="1" applyFill="1" applyBorder="1" applyAlignment="1">
      <alignment horizontal="center" vertical="center"/>
    </xf>
    <xf numFmtId="164" fontId="14" fillId="4" borderId="21" xfId="0" applyNumberFormat="1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164" fontId="14" fillId="4" borderId="17" xfId="0" applyNumberFormat="1" applyFont="1" applyFill="1" applyBorder="1" applyAlignment="1">
      <alignment horizontal="center" vertical="center"/>
    </xf>
    <xf numFmtId="164" fontId="14" fillId="4" borderId="1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indent="2"/>
    </xf>
    <xf numFmtId="164" fontId="8" fillId="0" borderId="5" xfId="0" applyNumberFormat="1" applyFont="1" applyBorder="1" applyAlignment="1">
      <alignment vertical="center"/>
    </xf>
    <xf numFmtId="10" fontId="8" fillId="0" borderId="5" xfId="0" applyNumberFormat="1" applyFont="1" applyBorder="1" applyAlignment="1">
      <alignment vertical="center"/>
    </xf>
    <xf numFmtId="10" fontId="8" fillId="2" borderId="5" xfId="0" applyNumberFormat="1" applyFont="1" applyFill="1" applyBorder="1" applyAlignment="1">
      <alignment vertical="center"/>
    </xf>
    <xf numFmtId="0" fontId="8" fillId="0" borderId="7" xfId="0" applyFont="1" applyBorder="1" applyAlignment="1">
      <alignment horizontal="right" vertical="center" indent="1"/>
    </xf>
    <xf numFmtId="0" fontId="0" fillId="2" borderId="0" xfId="0" applyFill="1"/>
    <xf numFmtId="0" fontId="11" fillId="3" borderId="22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164" fontId="14" fillId="5" borderId="26" xfId="0" applyNumberFormat="1" applyFont="1" applyFill="1" applyBorder="1"/>
    <xf numFmtId="164" fontId="14" fillId="5" borderId="27" xfId="0" applyNumberFormat="1" applyFont="1" applyFill="1" applyBorder="1"/>
    <xf numFmtId="164" fontId="14" fillId="5" borderId="29" xfId="0" applyNumberFormat="1" applyFont="1" applyFill="1" applyBorder="1"/>
    <xf numFmtId="164" fontId="14" fillId="5" borderId="30" xfId="0" applyNumberFormat="1" applyFont="1" applyFill="1" applyBorder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4" fillId="5" borderId="25" xfId="0" applyFont="1" applyFill="1" applyBorder="1" applyAlignment="1">
      <alignment horizontal="center" vertical="center"/>
    </xf>
    <xf numFmtId="0" fontId="14" fillId="5" borderId="2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8" fillId="6" borderId="5" xfId="0" applyNumberFormat="1" applyFont="1" applyFill="1" applyBorder="1"/>
    <xf numFmtId="164" fontId="8" fillId="6" borderId="7" xfId="0" applyNumberFormat="1" applyFont="1" applyFill="1" applyBorder="1"/>
    <xf numFmtId="9" fontId="8" fillId="6" borderId="5" xfId="1" applyFont="1" applyFill="1" applyBorder="1" applyAlignment="1">
      <alignment horizontal="right"/>
    </xf>
    <xf numFmtId="0" fontId="15" fillId="3" borderId="1" xfId="0" applyFont="1" applyFill="1" applyBorder="1" applyAlignment="1">
      <alignment horizontal="left" vertical="center" indent="2"/>
    </xf>
    <xf numFmtId="0" fontId="15" fillId="3" borderId="0" xfId="0" applyFont="1" applyFill="1" applyAlignment="1">
      <alignment horizontal="left" vertical="center" indent="2"/>
    </xf>
    <xf numFmtId="0" fontId="9" fillId="3" borderId="2" xfId="0" applyFont="1" applyFill="1" applyBorder="1" applyAlignment="1">
      <alignment horizontal="left" vertical="center" indent="2"/>
    </xf>
    <xf numFmtId="0" fontId="9" fillId="3" borderId="8" xfId="0" applyFont="1" applyFill="1" applyBorder="1" applyAlignment="1">
      <alignment horizontal="left" vertical="center" indent="2"/>
    </xf>
    <xf numFmtId="0" fontId="8" fillId="0" borderId="4" xfId="0" applyFont="1" applyBorder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8" fillId="0" borderId="6" xfId="0" applyFont="1" applyBorder="1" applyAlignment="1">
      <alignment horizontal="left" vertical="center" indent="2"/>
    </xf>
    <xf numFmtId="0" fontId="8" fillId="0" borderId="9" xfId="0" applyFont="1" applyBorder="1" applyAlignment="1">
      <alignment horizontal="left" vertical="center" indent="2"/>
    </xf>
    <xf numFmtId="0" fontId="8" fillId="6" borderId="4" xfId="0" applyFont="1" applyFill="1" applyBorder="1" applyAlignment="1">
      <alignment horizontal="left" vertical="center" indent="2"/>
    </xf>
    <xf numFmtId="0" fontId="8" fillId="6" borderId="0" xfId="0" applyFont="1" applyFill="1" applyAlignment="1">
      <alignment horizontal="left" vertical="center" indent="2"/>
    </xf>
    <xf numFmtId="0" fontId="8" fillId="6" borderId="6" xfId="0" applyFont="1" applyFill="1" applyBorder="1" applyAlignment="1">
      <alignment horizontal="left" vertical="center" indent="2"/>
    </xf>
    <xf numFmtId="0" fontId="8" fillId="6" borderId="9" xfId="0" applyFont="1" applyFill="1" applyBorder="1" applyAlignment="1">
      <alignment horizontal="left" vertical="center" indent="2"/>
    </xf>
    <xf numFmtId="0" fontId="3" fillId="3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>
                <a:solidFill>
                  <a:schemeClr val="accent5">
                    <a:lumMod val="50000"/>
                  </a:schemeClr>
                </a:solidFill>
              </a:rPr>
              <a:t>Evolução do Patrimônio – Longo Prazo</a:t>
            </a:r>
            <a:r>
              <a:rPr lang="pt-BR" b="1">
                <a:solidFill>
                  <a:schemeClr val="accent5">
                    <a:lumMod val="50000"/>
                  </a:schemeClr>
                </a:solidFill>
              </a:rPr>
              <a:t> </a:t>
            </a:r>
          </a:p>
        </c:rich>
      </c:tx>
      <c:layout>
        <c:manualLayout>
          <c:xMode val="edge"/>
          <c:yMode val="edge"/>
          <c:x val="0.19105725155848921"/>
          <c:y val="1.78926556148702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0586786079774386"/>
          <c:y val="0.11032386516004189"/>
          <c:w val="0.76855250974250633"/>
          <c:h val="0.827428988700314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8535977793821407E-3"/>
                  <c:y val="8.98644992121348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AB-4C0C-8AFD-C0E7DDDAA949}"/>
                </c:ext>
              </c:extLst>
            </c:dLbl>
            <c:dLbl>
              <c:idx val="3"/>
              <c:layout>
                <c:manualLayout>
                  <c:x val="-9.8202574211159041E-17"/>
                  <c:y val="1.83762176052846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B0-4D64-A1EA-8D6D9E1160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Entrada!$A$30:$A$33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cat>
          <c:val>
            <c:numRef>
              <c:f>Entrada!$D$30:$D$33</c:f>
              <c:numCache>
                <c:formatCode>"R$"\ #,##0.00</c:formatCode>
                <c:ptCount val="4"/>
                <c:pt idx="0">
                  <c:v>17274.55529442061</c:v>
                </c:pt>
                <c:pt idx="1">
                  <c:v>25279.029964449266</c:v>
                </c:pt>
                <c:pt idx="2">
                  <c:v>54441.842762490232</c:v>
                </c:pt>
                <c:pt idx="3">
                  <c:v>126126.13225775163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B-4C0C-8AFD-C0E7DDDAA9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0232927"/>
        <c:axId val="680253311"/>
      </c:barChart>
      <c:catAx>
        <c:axId val="680232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accent5">
                        <a:lumMod val="50000"/>
                      </a:schemeClr>
                    </a:solidFill>
                  </a:rPr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0253311"/>
        <c:crosses val="autoZero"/>
        <c:auto val="0"/>
        <c:lblAlgn val="ctr"/>
        <c:lblOffset val="100"/>
        <c:noMultiLvlLbl val="0"/>
      </c:catAx>
      <c:valAx>
        <c:axId val="680253311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solidFill>
                      <a:schemeClr val="accent5">
                        <a:lumMod val="50000"/>
                      </a:schemeClr>
                    </a:solidFill>
                    <a:effectLst/>
                  </a:rPr>
                  <a:t>Patrimônio Acumulado</a:t>
                </a:r>
                <a:endParaRPr lang="pt-BR" sz="1000">
                  <a:solidFill>
                    <a:schemeClr val="accent5">
                      <a:lumMod val="50000"/>
                    </a:schemeClr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023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1" i="1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1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Evolução do Patrimônio –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1" i="1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Simulacao!$F$12</c:f>
              <c:strCache>
                <c:ptCount val="1"/>
                <c:pt idx="0">
                  <c:v>PATRIMÔNIO ACUMULADO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Simulacao!$B$13:$B$36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Simulacao!$F$13:$F$36</c:f>
              <c:numCache>
                <c:formatCode>"R$"\ #,##0.00</c:formatCode>
                <c:ptCount val="24"/>
                <c:pt idx="0">
                  <c:v>10580</c:v>
                </c:pt>
                <c:pt idx="1">
                  <c:v>11164.64</c:v>
                </c:pt>
                <c:pt idx="2">
                  <c:v>11753.957119999999</c:v>
                </c:pt>
                <c:pt idx="3">
                  <c:v>12347.988776959999</c:v>
                </c:pt>
                <c:pt idx="4">
                  <c:v>12946.772687175679</c:v>
                </c:pt>
                <c:pt idx="5">
                  <c:v>13550.346868673085</c:v>
                </c:pt>
                <c:pt idx="6">
                  <c:v>14158.74964362247</c:v>
                </c:pt>
                <c:pt idx="7">
                  <c:v>14772.01964077145</c:v>
                </c:pt>
                <c:pt idx="8">
                  <c:v>15390.195797897622</c:v>
                </c:pt>
                <c:pt idx="9">
                  <c:v>16013.317364280803</c:v>
                </c:pt>
                <c:pt idx="10">
                  <c:v>16641.423903195049</c:v>
                </c:pt>
                <c:pt idx="11">
                  <c:v>17274.55529442061</c:v>
                </c:pt>
                <c:pt idx="12">
                  <c:v>17912.751736775976</c:v>
                </c:pt>
                <c:pt idx="13">
                  <c:v>18556.053750670184</c:v>
                </c:pt>
                <c:pt idx="14">
                  <c:v>19204.502180675547</c:v>
                </c:pt>
                <c:pt idx="15">
                  <c:v>19858.138198120952</c:v>
                </c:pt>
                <c:pt idx="16">
                  <c:v>20517.003303705918</c:v>
                </c:pt>
                <c:pt idx="17">
                  <c:v>21181.139330135567</c:v>
                </c:pt>
                <c:pt idx="18">
                  <c:v>21850.588444776651</c:v>
                </c:pt>
                <c:pt idx="19">
                  <c:v>22525.393152334866</c:v>
                </c:pt>
                <c:pt idx="20">
                  <c:v>23205.596297553544</c:v>
                </c:pt>
                <c:pt idx="21">
                  <c:v>23891.241067933974</c:v>
                </c:pt>
                <c:pt idx="22">
                  <c:v>24582.370996477446</c:v>
                </c:pt>
                <c:pt idx="23">
                  <c:v>25279.029964449266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D9-4100-92D1-2D840EAFB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198255"/>
        <c:axId val="798182863"/>
      </c:scatterChart>
      <c:valAx>
        <c:axId val="798198255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accent5">
                        <a:lumMod val="50000"/>
                      </a:schemeClr>
                    </a:solidFill>
                  </a:rPr>
                  <a:t>Mensal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8182863"/>
        <c:crossesAt val="0"/>
        <c:crossBetween val="midCat"/>
        <c:minorUnit val="6"/>
      </c:valAx>
      <c:valAx>
        <c:axId val="798182863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accent5">
                        <a:lumMod val="50000"/>
                      </a:schemeClr>
                    </a:solidFill>
                  </a:rPr>
                  <a:t>Patrimônio Acumulado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819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0">
                <a:solidFill>
                  <a:schemeClr val="accent5">
                    <a:lumMod val="50000"/>
                  </a:schemeClr>
                </a:solidFill>
              </a:rPr>
              <a:t>Evolução do Patrimônio – Mês a Mês (60</a:t>
            </a:r>
            <a:r>
              <a:rPr lang="pt-BR" b="1" i="0" baseline="0">
                <a:solidFill>
                  <a:schemeClr val="accent5">
                    <a:lumMod val="50000"/>
                  </a:schemeClr>
                </a:solidFill>
              </a:rPr>
              <a:t> Meses)</a:t>
            </a:r>
            <a:r>
              <a:rPr lang="pt-BR" b="1" i="0">
                <a:solidFill>
                  <a:schemeClr val="accent5">
                    <a:lumMod val="50000"/>
                  </a:schemeClr>
                </a:solidFill>
              </a:rPr>
              <a:t> 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Simulacao!$F$12</c:f>
              <c:strCache>
                <c:ptCount val="1"/>
                <c:pt idx="0">
                  <c:v>PATRIMÔNIO 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Simulacao!$B$13:$B$72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Simulacao!$F$13:$F$72</c:f>
              <c:numCache>
                <c:formatCode>"R$"\ #,##0.00</c:formatCode>
                <c:ptCount val="60"/>
                <c:pt idx="0">
                  <c:v>10580</c:v>
                </c:pt>
                <c:pt idx="1">
                  <c:v>11164.64</c:v>
                </c:pt>
                <c:pt idx="2">
                  <c:v>11753.957119999999</c:v>
                </c:pt>
                <c:pt idx="3">
                  <c:v>12347.988776959999</c:v>
                </c:pt>
                <c:pt idx="4">
                  <c:v>12946.772687175679</c:v>
                </c:pt>
                <c:pt idx="5">
                  <c:v>13550.346868673085</c:v>
                </c:pt>
                <c:pt idx="6">
                  <c:v>14158.74964362247</c:v>
                </c:pt>
                <c:pt idx="7">
                  <c:v>14772.01964077145</c:v>
                </c:pt>
                <c:pt idx="8">
                  <c:v>15390.195797897622</c:v>
                </c:pt>
                <c:pt idx="9">
                  <c:v>16013.317364280803</c:v>
                </c:pt>
                <c:pt idx="10">
                  <c:v>16641.423903195049</c:v>
                </c:pt>
                <c:pt idx="11">
                  <c:v>17274.55529442061</c:v>
                </c:pt>
                <c:pt idx="12">
                  <c:v>17912.751736775976</c:v>
                </c:pt>
                <c:pt idx="13">
                  <c:v>18556.053750670184</c:v>
                </c:pt>
                <c:pt idx="14">
                  <c:v>19204.502180675547</c:v>
                </c:pt>
                <c:pt idx="15">
                  <c:v>19858.138198120952</c:v>
                </c:pt>
                <c:pt idx="16">
                  <c:v>20517.003303705918</c:v>
                </c:pt>
                <c:pt idx="17">
                  <c:v>21181.139330135567</c:v>
                </c:pt>
                <c:pt idx="18">
                  <c:v>21850.588444776651</c:v>
                </c:pt>
                <c:pt idx="19">
                  <c:v>22525.393152334866</c:v>
                </c:pt>
                <c:pt idx="20">
                  <c:v>23205.596297553544</c:v>
                </c:pt>
                <c:pt idx="21">
                  <c:v>23891.241067933974</c:v>
                </c:pt>
                <c:pt idx="22">
                  <c:v>24582.370996477446</c:v>
                </c:pt>
                <c:pt idx="23">
                  <c:v>25279.029964449266</c:v>
                </c:pt>
                <c:pt idx="24">
                  <c:v>25981.262204164861</c:v>
                </c:pt>
                <c:pt idx="25">
                  <c:v>26689.112301798181</c:v>
                </c:pt>
                <c:pt idx="26">
                  <c:v>27402.625200212566</c:v>
                </c:pt>
                <c:pt idx="27">
                  <c:v>28121.846201814267</c:v>
                </c:pt>
                <c:pt idx="28">
                  <c:v>28846.82097142878</c:v>
                </c:pt>
                <c:pt idx="29">
                  <c:v>29577.595539200211</c:v>
                </c:pt>
                <c:pt idx="30">
                  <c:v>30314.216303513811</c:v>
                </c:pt>
                <c:pt idx="31">
                  <c:v>31056.73003394192</c:v>
                </c:pt>
                <c:pt idx="32">
                  <c:v>31805.183874213457</c:v>
                </c:pt>
                <c:pt idx="33">
                  <c:v>32559.625345207165</c:v>
                </c:pt>
                <c:pt idx="34">
                  <c:v>33320.102347968823</c:v>
                </c:pt>
                <c:pt idx="35">
                  <c:v>34086.663166752573</c:v>
                </c:pt>
                <c:pt idx="36">
                  <c:v>34859.356472086591</c:v>
                </c:pt>
                <c:pt idx="37">
                  <c:v>35638.231323863285</c:v>
                </c:pt>
                <c:pt idx="38">
                  <c:v>36423.337174454195</c:v>
                </c:pt>
                <c:pt idx="39">
                  <c:v>37214.723871849827</c:v>
                </c:pt>
                <c:pt idx="40">
                  <c:v>38012.441662824625</c:v>
                </c:pt>
                <c:pt idx="41">
                  <c:v>38816.541196127226</c:v>
                </c:pt>
                <c:pt idx="42">
                  <c:v>39627.073525696243</c:v>
                </c:pt>
                <c:pt idx="43">
                  <c:v>40444.090113901817</c:v>
                </c:pt>
                <c:pt idx="44">
                  <c:v>41267.642834813028</c:v>
                </c:pt>
                <c:pt idx="45">
                  <c:v>42097.783977491534</c:v>
                </c:pt>
                <c:pt idx="46">
                  <c:v>42934.566249311465</c:v>
                </c:pt>
                <c:pt idx="47">
                  <c:v>43778.042779305957</c:v>
                </c:pt>
                <c:pt idx="48">
                  <c:v>44628.267121540404</c:v>
                </c:pt>
                <c:pt idx="49">
                  <c:v>45485.293258512727</c:v>
                </c:pt>
                <c:pt idx="50">
                  <c:v>46349.175604580829</c:v>
                </c:pt>
                <c:pt idx="51">
                  <c:v>47219.969009417473</c:v>
                </c:pt>
                <c:pt idx="52">
                  <c:v>48097.728761492814</c:v>
                </c:pt>
                <c:pt idx="53">
                  <c:v>48982.510591584753</c:v>
                </c:pt>
                <c:pt idx="54">
                  <c:v>49874.370676317434</c:v>
                </c:pt>
                <c:pt idx="55">
                  <c:v>50773.365641727971</c:v>
                </c:pt>
                <c:pt idx="56">
                  <c:v>51679.552566861792</c:v>
                </c:pt>
                <c:pt idx="57">
                  <c:v>52592.988987396689</c:v>
                </c:pt>
                <c:pt idx="58">
                  <c:v>53513.732899295865</c:v>
                </c:pt>
                <c:pt idx="59">
                  <c:v>54441.842762490232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A-4975-BB2E-2718DD908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198255"/>
        <c:axId val="798182863"/>
      </c:scatterChart>
      <c:valAx>
        <c:axId val="798198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Mensal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8182863"/>
        <c:crossesAt val="0"/>
        <c:crossBetween val="midCat"/>
        <c:minorUnit val="6"/>
      </c:valAx>
      <c:valAx>
        <c:axId val="798182863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baseline="0"/>
                  <a:t>Patrimônio Acumulado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\ #,##0.00" sourceLinked="1"/>
        <c:majorTickMark val="in"/>
        <c:minorTickMark val="in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819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86590</xdr:colOff>
      <xdr:row>0</xdr:row>
      <xdr:rowOff>69272</xdr:rowOff>
    </xdr:from>
    <xdr:to>
      <xdr:col>9</xdr:col>
      <xdr:colOff>277091</xdr:colOff>
      <xdr:row>7</xdr:row>
      <xdr:rowOff>78145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1B4F14-CFAF-4ED5-9DED-6AB8B7ED2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90" y="69272"/>
          <a:ext cx="9663546" cy="1342373"/>
        </a:xfrm>
        <a:prstGeom prst="rect">
          <a:avLst/>
        </a:prstGeom>
      </xdr:spPr>
    </xdr:pic>
    <xdr:clientData/>
  </xdr:twoCellAnchor>
  <xdr:twoCellAnchor>
    <xdr:from>
      <xdr:col>4</xdr:col>
      <xdr:colOff>351961</xdr:colOff>
      <xdr:row>33</xdr:row>
      <xdr:rowOff>148166</xdr:rowOff>
    </xdr:from>
    <xdr:to>
      <xdr:col>9</xdr:col>
      <xdr:colOff>666750</xdr:colOff>
      <xdr:row>57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19F3C3-4D08-4F27-820C-BC5FA465B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271825</xdr:colOff>
      <xdr:row>34</xdr:row>
      <xdr:rowOff>62191</xdr:rowOff>
    </xdr:from>
    <xdr:to>
      <xdr:col>4</xdr:col>
      <xdr:colOff>138473</xdr:colOff>
      <xdr:row>58</xdr:row>
      <xdr:rowOff>67234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E63338D-7567-4C82-AB44-C4AE22D3B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561717</xdr:colOff>
      <xdr:row>10</xdr:row>
      <xdr:rowOff>167382</xdr:rowOff>
    </xdr:from>
    <xdr:to>
      <xdr:col>18</xdr:col>
      <xdr:colOff>0</xdr:colOff>
      <xdr:row>30</xdr:row>
      <xdr:rowOff>31792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11659B-70B4-4FC1-BD16-A2A6C2F2B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136145</xdr:colOff>
      <xdr:row>7</xdr:row>
      <xdr:rowOff>8873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983A325-32E3-4EAC-8176-CEA934318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01966" cy="1342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32DC-09CC-44A5-8C9F-5CEC72FC7700}">
  <dimension ref="A1:XEY112"/>
  <sheetViews>
    <sheetView showGridLines="0" tabSelected="1" zoomScale="70" zoomScaleNormal="70" workbookViewId="0">
      <selection activeCell="A62" sqref="A62:XFD70"/>
    </sheetView>
  </sheetViews>
  <sheetFormatPr defaultColWidth="0" defaultRowHeight="15" zeroHeight="1"/>
  <cols>
    <col min="1" max="1" width="14.28515625" customWidth="1"/>
    <col min="2" max="2" width="25" customWidth="1"/>
    <col min="3" max="3" width="10.7109375" customWidth="1"/>
    <col min="4" max="4" width="22.5703125" customWidth="1"/>
    <col min="5" max="5" width="22.28515625" customWidth="1"/>
    <col min="6" max="6" width="16.85546875" bestFit="1" customWidth="1"/>
    <col min="7" max="7" width="12.140625" customWidth="1"/>
    <col min="8" max="9" width="9.140625" customWidth="1"/>
    <col min="10" max="10" width="21.140625" customWidth="1"/>
    <col min="11" max="11" width="9.140625" hidden="1" customWidth="1"/>
    <col min="12" max="16379" width="9.140625" hidden="1"/>
    <col min="16380" max="16384" width="0.42578125" hidden="1"/>
  </cols>
  <sheetData>
    <row r="1" spans="2:5"/>
    <row r="2" spans="2:5"/>
    <row r="3" spans="2:5"/>
    <row r="4" spans="2:5"/>
    <row r="5" spans="2:5"/>
    <row r="6" spans="2:5"/>
    <row r="7" spans="2:5"/>
    <row r="8" spans="2:5"/>
    <row r="9" spans="2:5"/>
    <row r="10" spans="2:5" ht="15.75" thickBot="1"/>
    <row r="11" spans="2:5" s="10" customFormat="1" ht="24.95" customHeight="1">
      <c r="B11" s="56" t="s">
        <v>6</v>
      </c>
      <c r="C11" s="57"/>
      <c r="D11" s="57"/>
      <c r="E11" s="11"/>
    </row>
    <row r="12" spans="2:5" ht="20.100000000000001" customHeight="1">
      <c r="B12" s="58" t="s">
        <v>0</v>
      </c>
      <c r="C12" s="59"/>
      <c r="D12" s="59"/>
      <c r="E12" s="34">
        <v>10000</v>
      </c>
    </row>
    <row r="13" spans="2:5" ht="20.100000000000001" customHeight="1">
      <c r="B13" s="58" t="s">
        <v>1</v>
      </c>
      <c r="C13" s="59"/>
      <c r="D13" s="59"/>
      <c r="E13" s="34">
        <v>500</v>
      </c>
    </row>
    <row r="14" spans="2:5" ht="20.100000000000001" customHeight="1">
      <c r="B14" s="58" t="s">
        <v>2</v>
      </c>
      <c r="C14" s="59"/>
      <c r="D14" s="59"/>
      <c r="E14" s="35">
        <v>8.0000000000000002E-3</v>
      </c>
    </row>
    <row r="15" spans="2:5" ht="20.100000000000001" customHeight="1">
      <c r="B15" s="58" t="s">
        <v>12</v>
      </c>
      <c r="C15" s="59"/>
      <c r="D15" s="59"/>
      <c r="E15" s="36">
        <v>6.0000000000000001E-3</v>
      </c>
    </row>
    <row r="16" spans="2:5" ht="20.100000000000001" customHeight="1" thickBot="1">
      <c r="B16" s="60" t="s">
        <v>17</v>
      </c>
      <c r="C16" s="61"/>
      <c r="D16" s="61"/>
      <c r="E16" s="37">
        <v>12</v>
      </c>
    </row>
    <row r="17" spans="1:6"/>
    <row r="18" spans="1:6" ht="15.75" thickBot="1"/>
    <row r="19" spans="1:6" ht="24.95" customHeight="1">
      <c r="B19" s="56" t="s">
        <v>16</v>
      </c>
      <c r="C19" s="57"/>
      <c r="D19" s="57"/>
      <c r="E19" s="9"/>
    </row>
    <row r="20" spans="1:6" ht="20.100000000000001" customHeight="1">
      <c r="B20" s="62" t="s">
        <v>3</v>
      </c>
      <c r="C20" s="63"/>
      <c r="D20" s="63"/>
      <c r="E20" s="51">
        <f>valor_inicial+(aporte_mensal*meses)</f>
        <v>16000</v>
      </c>
    </row>
    <row r="21" spans="1:6" ht="20.100000000000001" customHeight="1">
      <c r="B21" s="62" t="s">
        <v>4</v>
      </c>
      <c r="C21" s="63"/>
      <c r="D21" s="63"/>
      <c r="E21" s="51">
        <f>FV(taxa,meses,-aporte_mensal,-valor_inicial)</f>
        <v>17274.555294420657</v>
      </c>
    </row>
    <row r="22" spans="1:6" ht="20.100000000000001" customHeight="1">
      <c r="B22" s="62" t="s">
        <v>18</v>
      </c>
      <c r="C22" s="63"/>
      <c r="D22" s="63"/>
      <c r="E22" s="53">
        <f>(patrimonio_acumulado-ValorTotalInvestido)/ValorTotalInvestido</f>
        <v>7.9659705901291095E-2</v>
      </c>
    </row>
    <row r="23" spans="1:6" ht="20.100000000000001" customHeight="1" thickBot="1">
      <c r="B23" s="64" t="s">
        <v>5</v>
      </c>
      <c r="C23" s="65"/>
      <c r="D23" s="65"/>
      <c r="E23" s="52">
        <f>patrimonio_acumulado*rendimento_carteira</f>
        <v>103.64733176652395</v>
      </c>
    </row>
    <row r="24" spans="1:6">
      <c r="C24" s="3"/>
    </row>
    <row r="25" spans="1:6"/>
    <row r="26" spans="1:6" s="33" customFormat="1" ht="27.75" customHeight="1">
      <c r="B26" s="54" t="s">
        <v>21</v>
      </c>
      <c r="C26" s="55"/>
      <c r="D26" s="55"/>
      <c r="E26" s="55"/>
      <c r="F26" s="55"/>
    </row>
    <row r="27" spans="1:6"/>
    <row r="28" spans="1:6" ht="15.75" thickBot="1">
      <c r="B28" s="2"/>
    </row>
    <row r="29" spans="1:6" s="12" customFormat="1" ht="36" customHeight="1">
      <c r="B29" s="13" t="s">
        <v>19</v>
      </c>
      <c r="C29" s="14" t="s">
        <v>7</v>
      </c>
      <c r="D29" s="14" t="s">
        <v>11</v>
      </c>
      <c r="E29" s="14" t="s">
        <v>10</v>
      </c>
      <c r="F29" s="15" t="s">
        <v>24</v>
      </c>
    </row>
    <row r="30" spans="1:6" s="12" customFormat="1" ht="25.5" customHeight="1">
      <c r="A30" s="16">
        <v>1</v>
      </c>
      <c r="B30" s="17" t="s">
        <v>13</v>
      </c>
      <c r="C30" s="18">
        <v>12</v>
      </c>
      <c r="D30" s="19">
        <f>VLOOKUP($C30,Simulacao!$B:$G,5,FALSE)</f>
        <v>17274.55529442061</v>
      </c>
      <c r="E30" s="19">
        <f>VLOOKUP($C30,Simulacao!$B:$G,4,FALSE)</f>
        <v>133.13139122556041</v>
      </c>
      <c r="F30" s="20">
        <f>D30*rendimento_carteira</f>
        <v>103.64733176652366</v>
      </c>
    </row>
    <row r="31" spans="1:6" s="12" customFormat="1" ht="25.5" customHeight="1">
      <c r="A31" s="16">
        <v>2</v>
      </c>
      <c r="B31" s="21" t="s">
        <v>14</v>
      </c>
      <c r="C31" s="22">
        <v>24</v>
      </c>
      <c r="D31" s="19">
        <f>VLOOKUP($C31,Simulacao!$B:$G,5,FALSE)</f>
        <v>25279.029964449266</v>
      </c>
      <c r="E31" s="23">
        <f>VLOOKUP($C31,Simulacao!$B:$G,4,FALSE)</f>
        <v>196.65896797181958</v>
      </c>
      <c r="F31" s="24">
        <f>D31*rendimento_carteira</f>
        <v>151.67417978669559</v>
      </c>
    </row>
    <row r="32" spans="1:6" s="12" customFormat="1" ht="25.5" customHeight="1">
      <c r="A32" s="16">
        <v>5</v>
      </c>
      <c r="B32" s="25" t="s">
        <v>15</v>
      </c>
      <c r="C32" s="26">
        <v>60</v>
      </c>
      <c r="D32" s="27">
        <f>VLOOKUP($C32,Simulacao!$B:$G,5,FALSE)</f>
        <v>54441.842762490232</v>
      </c>
      <c r="E32" s="23">
        <f>VLOOKUP($C32,Simulacao!$B:$G,4,FALSE)</f>
        <v>428.10986319436694</v>
      </c>
      <c r="F32" s="28">
        <f>D32*rendimento_carteira</f>
        <v>326.65105657494138</v>
      </c>
    </row>
    <row r="33" spans="1:6" s="12" customFormat="1" ht="25.5" customHeight="1" thickBot="1">
      <c r="A33" s="16">
        <v>10</v>
      </c>
      <c r="B33" s="29" t="s">
        <v>20</v>
      </c>
      <c r="C33" s="30">
        <v>120</v>
      </c>
      <c r="D33" s="31">
        <f>VLOOKUP($C33,Simulacao!$B:$G,5,FALSE)</f>
        <v>126126.13225775163</v>
      </c>
      <c r="E33" s="31">
        <f>VLOOKUP($C33,Simulacao!$B:$G,4,FALSE)</f>
        <v>997.03279569644144</v>
      </c>
      <c r="F33" s="32">
        <f>D33*rendimento_carteira</f>
        <v>756.75679354650981</v>
      </c>
    </row>
    <row r="34" spans="1:6">
      <c r="B34" s="2"/>
      <c r="C34" s="6"/>
      <c r="D34" s="6"/>
      <c r="E34" s="6"/>
    </row>
    <row r="35" spans="1:6">
      <c r="B35" s="2"/>
    </row>
    <row r="36" spans="1:6">
      <c r="B36" s="5"/>
    </row>
    <row r="37" spans="1:6">
      <c r="B37" s="2"/>
    </row>
    <row r="38" spans="1:6">
      <c r="B38" s="1"/>
    </row>
    <row r="39" spans="1:6">
      <c r="B39" s="1"/>
    </row>
    <row r="40" spans="1:6"/>
    <row r="41" spans="1:6">
      <c r="C41" s="7"/>
    </row>
    <row r="42" spans="1:6"/>
    <row r="43" spans="1:6"/>
    <row r="44" spans="1:6"/>
    <row r="45" spans="1:6"/>
    <row r="46" spans="1:6"/>
    <row r="47" spans="1:6"/>
    <row r="48" spans="1:6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 hidden="1"/>
    <row r="63" customFormat="1" hidden="1"/>
    <row r="64" customFormat="1" hidden="1"/>
    <row r="65" customFormat="1" hidden="1"/>
    <row r="66" customFormat="1" hidden="1"/>
    <row r="67" customFormat="1" hidden="1"/>
    <row r="68" customFormat="1" hidden="1"/>
    <row r="69" customFormat="1" hidden="1"/>
    <row r="70" customFormat="1" hidden="1"/>
    <row r="71" customFormat="1" hidden="1"/>
    <row r="72" customFormat="1" hidden="1"/>
    <row r="73" customFormat="1" hidden="1"/>
    <row r="74" customFormat="1" hidden="1"/>
    <row r="75" customFormat="1" hidden="1"/>
    <row r="76" customFormat="1" hidden="1"/>
    <row r="77" customFormat="1" hidden="1"/>
    <row r="78" customFormat="1" hidden="1"/>
    <row r="79" customFormat="1" hidden="1"/>
    <row r="80" customFormat="1" hidden="1"/>
    <row r="81" customFormat="1" hidden="1"/>
    <row r="82" customFormat="1" hidden="1"/>
    <row r="83" customFormat="1" hidden="1"/>
    <row r="84" customFormat="1" hidden="1"/>
    <row r="85" customFormat="1" hidden="1"/>
    <row r="86" customFormat="1" hidden="1"/>
    <row r="87" customFormat="1" hidden="1"/>
    <row r="88" customFormat="1" hidden="1"/>
    <row r="89" customFormat="1" hidden="1"/>
    <row r="90" customFormat="1" hidden="1"/>
    <row r="91" customFormat="1" hidden="1"/>
    <row r="92" customFormat="1" hidden="1"/>
    <row r="93" customFormat="1" hidden="1"/>
    <row r="94" customFormat="1" hidden="1"/>
    <row r="95" customFormat="1" hidden="1"/>
    <row r="96" customFormat="1" hidden="1"/>
    <row r="97" customFormat="1" hidden="1"/>
    <row r="98" customFormat="1" hidden="1"/>
    <row r="99" customFormat="1" hidden="1"/>
    <row r="100" customFormat="1" hidden="1"/>
    <row r="101" customFormat="1" hidden="1"/>
    <row r="102" customFormat="1" hidden="1"/>
    <row r="103" customFormat="1" hidden="1"/>
    <row r="104" customFormat="1" hidden="1"/>
    <row r="105" customFormat="1" hidden="1"/>
    <row r="106" customFormat="1" hidden="1"/>
    <row r="107" customFormat="1" hidden="1"/>
    <row r="108" customFormat="1" hidden="1"/>
    <row r="109" customFormat="1" hidden="1"/>
    <row r="110" customFormat="1" hidden="1"/>
    <row r="111" customFormat="1" hidden="1"/>
    <row r="112" customFormat="1" hidden="1"/>
  </sheetData>
  <mergeCells count="12">
    <mergeCell ref="B26:F26"/>
    <mergeCell ref="B11:D11"/>
    <mergeCell ref="B19:D19"/>
    <mergeCell ref="B12:D12"/>
    <mergeCell ref="B13:D13"/>
    <mergeCell ref="B14:D14"/>
    <mergeCell ref="B15:D15"/>
    <mergeCell ref="B16:D16"/>
    <mergeCell ref="B20:D20"/>
    <mergeCell ref="B22:D22"/>
    <mergeCell ref="B21:D21"/>
    <mergeCell ref="B23:D2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596E-8FD2-4C98-A430-049B7C7A5056}">
  <dimension ref="A1:S144"/>
  <sheetViews>
    <sheetView showGridLines="0" topLeftCell="A41" zoomScale="70" zoomScaleNormal="70" workbookViewId="0">
      <selection activeCell="K35" sqref="K35"/>
    </sheetView>
  </sheetViews>
  <sheetFormatPr defaultColWidth="0" defaultRowHeight="15" zeroHeight="1"/>
  <cols>
    <col min="1" max="1" width="9.140625" customWidth="1"/>
    <col min="2" max="2" width="13" style="10" bestFit="1" customWidth="1"/>
    <col min="3" max="3" width="15.85546875" customWidth="1"/>
    <col min="4" max="4" width="16.42578125" bestFit="1" customWidth="1"/>
    <col min="5" max="5" width="17.140625" bestFit="1" customWidth="1"/>
    <col min="6" max="6" width="20.42578125" customWidth="1"/>
    <col min="7" max="7" width="14.42578125" bestFit="1" customWidth="1"/>
    <col min="8" max="18" width="9.140625" customWidth="1"/>
    <col min="19" max="19" width="0" hidden="1" customWidth="1"/>
    <col min="20" max="16384" width="9.140625" hidden="1"/>
  </cols>
  <sheetData>
    <row r="1" spans="2:7"/>
    <row r="2" spans="2:7"/>
    <row r="3" spans="2:7"/>
    <row r="4" spans="2:7"/>
    <row r="5" spans="2:7"/>
    <row r="6" spans="2:7"/>
    <row r="7" spans="2:7"/>
    <row r="8" spans="2:7"/>
    <row r="9" spans="2:7"/>
    <row r="10" spans="2:7" ht="21">
      <c r="B10" s="66" t="s">
        <v>22</v>
      </c>
      <c r="C10" s="66"/>
      <c r="D10" s="66"/>
      <c r="E10" s="66"/>
      <c r="F10" s="66"/>
      <c r="G10" s="66"/>
    </row>
    <row r="11" spans="2:7" ht="15.75" thickBot="1"/>
    <row r="12" spans="2:7" s="4" customFormat="1" ht="30">
      <c r="B12" s="39" t="s">
        <v>7</v>
      </c>
      <c r="C12" s="40" t="s">
        <v>8</v>
      </c>
      <c r="D12" s="40" t="s">
        <v>9</v>
      </c>
      <c r="E12" s="40" t="s">
        <v>10</v>
      </c>
      <c r="F12" s="40" t="s">
        <v>11</v>
      </c>
      <c r="G12" s="41" t="s">
        <v>24</v>
      </c>
    </row>
    <row r="13" spans="2:7">
      <c r="B13" s="48">
        <v>1</v>
      </c>
      <c r="C13" s="42">
        <f t="shared" ref="C13:C44" si="0">aporte_mensal</f>
        <v>500</v>
      </c>
      <c r="D13" s="42">
        <f>valor_inicial</f>
        <v>10000</v>
      </c>
      <c r="E13" s="42">
        <f t="shared" ref="E13:E44" si="1">D13*taxa</f>
        <v>80</v>
      </c>
      <c r="F13" s="42">
        <f>C13+D13+E13</f>
        <v>10580</v>
      </c>
      <c r="G13" s="43">
        <f t="shared" ref="G13:G44" si="2">F13*rendimento_carteira</f>
        <v>63.480000000000004</v>
      </c>
    </row>
    <row r="14" spans="2:7">
      <c r="B14" s="48">
        <f>B13+1</f>
        <v>2</v>
      </c>
      <c r="C14" s="42">
        <f t="shared" si="0"/>
        <v>500</v>
      </c>
      <c r="D14" s="42">
        <f>$F13</f>
        <v>10580</v>
      </c>
      <c r="E14" s="42">
        <f t="shared" si="1"/>
        <v>84.64</v>
      </c>
      <c r="F14" s="42">
        <f t="shared" ref="F14:F24" si="3">C14+D14+E14</f>
        <v>11164.64</v>
      </c>
      <c r="G14" s="43">
        <f t="shared" si="2"/>
        <v>66.987839999999991</v>
      </c>
    </row>
    <row r="15" spans="2:7">
      <c r="B15" s="48">
        <f t="shared" ref="B15:B78" si="4">B14+1</f>
        <v>3</v>
      </c>
      <c r="C15" s="42">
        <f t="shared" si="0"/>
        <v>500</v>
      </c>
      <c r="D15" s="42">
        <f t="shared" ref="D15:D30" si="5">$F14</f>
        <v>11164.64</v>
      </c>
      <c r="E15" s="42">
        <f t="shared" si="1"/>
        <v>89.317120000000003</v>
      </c>
      <c r="F15" s="42">
        <f t="shared" si="3"/>
        <v>11753.957119999999</v>
      </c>
      <c r="G15" s="43">
        <f t="shared" si="2"/>
        <v>70.523742720000001</v>
      </c>
    </row>
    <row r="16" spans="2:7">
      <c r="B16" s="48">
        <f t="shared" si="4"/>
        <v>4</v>
      </c>
      <c r="C16" s="42">
        <f t="shared" si="0"/>
        <v>500</v>
      </c>
      <c r="D16" s="42">
        <f t="shared" si="5"/>
        <v>11753.957119999999</v>
      </c>
      <c r="E16" s="42">
        <f t="shared" si="1"/>
        <v>94.031656959999992</v>
      </c>
      <c r="F16" s="42">
        <f t="shared" si="3"/>
        <v>12347.988776959999</v>
      </c>
      <c r="G16" s="43">
        <f t="shared" si="2"/>
        <v>74.087932661759993</v>
      </c>
    </row>
    <row r="17" spans="2:7">
      <c r="B17" s="48">
        <f t="shared" si="4"/>
        <v>5</v>
      </c>
      <c r="C17" s="42">
        <f t="shared" si="0"/>
        <v>500</v>
      </c>
      <c r="D17" s="42">
        <f t="shared" si="5"/>
        <v>12347.988776959999</v>
      </c>
      <c r="E17" s="42">
        <f t="shared" si="1"/>
        <v>98.783910215679995</v>
      </c>
      <c r="F17" s="42">
        <f t="shared" si="3"/>
        <v>12946.772687175679</v>
      </c>
      <c r="G17" s="43">
        <f t="shared" si="2"/>
        <v>77.680636123054072</v>
      </c>
    </row>
    <row r="18" spans="2:7">
      <c r="B18" s="48">
        <f t="shared" si="4"/>
        <v>6</v>
      </c>
      <c r="C18" s="42">
        <f t="shared" si="0"/>
        <v>500</v>
      </c>
      <c r="D18" s="42">
        <f t="shared" si="5"/>
        <v>12946.772687175679</v>
      </c>
      <c r="E18" s="42">
        <f t="shared" si="1"/>
        <v>103.57418149740543</v>
      </c>
      <c r="F18" s="42">
        <f t="shared" si="3"/>
        <v>13550.346868673085</v>
      </c>
      <c r="G18" s="43">
        <f t="shared" si="2"/>
        <v>81.302081212038516</v>
      </c>
    </row>
    <row r="19" spans="2:7">
      <c r="B19" s="48">
        <f t="shared" si="4"/>
        <v>7</v>
      </c>
      <c r="C19" s="42">
        <f t="shared" si="0"/>
        <v>500</v>
      </c>
      <c r="D19" s="42">
        <f t="shared" si="5"/>
        <v>13550.346868673085</v>
      </c>
      <c r="E19" s="42">
        <f t="shared" si="1"/>
        <v>108.40277494938468</v>
      </c>
      <c r="F19" s="42">
        <f t="shared" si="3"/>
        <v>14158.74964362247</v>
      </c>
      <c r="G19" s="43">
        <f t="shared" si="2"/>
        <v>84.952497861734827</v>
      </c>
    </row>
    <row r="20" spans="2:7">
      <c r="B20" s="48">
        <f t="shared" si="4"/>
        <v>8</v>
      </c>
      <c r="C20" s="42">
        <f t="shared" si="0"/>
        <v>500</v>
      </c>
      <c r="D20" s="42">
        <f t="shared" si="5"/>
        <v>14158.74964362247</v>
      </c>
      <c r="E20" s="42">
        <f t="shared" si="1"/>
        <v>113.26999714897977</v>
      </c>
      <c r="F20" s="42">
        <f t="shared" si="3"/>
        <v>14772.01964077145</v>
      </c>
      <c r="G20" s="43">
        <f t="shared" si="2"/>
        <v>88.632117844628709</v>
      </c>
    </row>
    <row r="21" spans="2:7">
      <c r="B21" s="48">
        <f t="shared" si="4"/>
        <v>9</v>
      </c>
      <c r="C21" s="42">
        <f t="shared" si="0"/>
        <v>500</v>
      </c>
      <c r="D21" s="42">
        <f t="shared" si="5"/>
        <v>14772.01964077145</v>
      </c>
      <c r="E21" s="42">
        <f t="shared" si="1"/>
        <v>118.1761571261716</v>
      </c>
      <c r="F21" s="42">
        <f t="shared" si="3"/>
        <v>15390.195797897622</v>
      </c>
      <c r="G21" s="43">
        <f t="shared" si="2"/>
        <v>92.341174787385739</v>
      </c>
    </row>
    <row r="22" spans="2:7">
      <c r="B22" s="48">
        <f t="shared" si="4"/>
        <v>10</v>
      </c>
      <c r="C22" s="42">
        <f t="shared" si="0"/>
        <v>500</v>
      </c>
      <c r="D22" s="42">
        <f t="shared" si="5"/>
        <v>15390.195797897622</v>
      </c>
      <c r="E22" s="42">
        <f t="shared" si="1"/>
        <v>123.12156638318098</v>
      </c>
      <c r="F22" s="42">
        <f t="shared" si="3"/>
        <v>16013.317364280803</v>
      </c>
      <c r="G22" s="43">
        <f t="shared" si="2"/>
        <v>96.079904185684825</v>
      </c>
    </row>
    <row r="23" spans="2:7">
      <c r="B23" s="48">
        <f t="shared" si="4"/>
        <v>11</v>
      </c>
      <c r="C23" s="42">
        <f t="shared" si="0"/>
        <v>500</v>
      </c>
      <c r="D23" s="42">
        <f t="shared" si="5"/>
        <v>16013.317364280803</v>
      </c>
      <c r="E23" s="42">
        <f t="shared" si="1"/>
        <v>128.10653891424644</v>
      </c>
      <c r="F23" s="42">
        <f t="shared" si="3"/>
        <v>16641.423903195049</v>
      </c>
      <c r="G23" s="43">
        <f t="shared" si="2"/>
        <v>99.848543419170298</v>
      </c>
    </row>
    <row r="24" spans="2:7">
      <c r="B24" s="48">
        <f t="shared" si="4"/>
        <v>12</v>
      </c>
      <c r="C24" s="42">
        <f t="shared" si="0"/>
        <v>500</v>
      </c>
      <c r="D24" s="42">
        <f t="shared" si="5"/>
        <v>16641.423903195049</v>
      </c>
      <c r="E24" s="42">
        <f t="shared" si="1"/>
        <v>133.13139122556041</v>
      </c>
      <c r="F24" s="42">
        <f t="shared" si="3"/>
        <v>17274.55529442061</v>
      </c>
      <c r="G24" s="43">
        <f t="shared" si="2"/>
        <v>103.64733176652366</v>
      </c>
    </row>
    <row r="25" spans="2:7">
      <c r="B25" s="48">
        <f t="shared" si="4"/>
        <v>13</v>
      </c>
      <c r="C25" s="42">
        <f t="shared" si="0"/>
        <v>500</v>
      </c>
      <c r="D25" s="42">
        <f t="shared" si="5"/>
        <v>17274.55529442061</v>
      </c>
      <c r="E25" s="42">
        <f t="shared" si="1"/>
        <v>138.19644235536489</v>
      </c>
      <c r="F25" s="42">
        <f>C25+D25+E25</f>
        <v>17912.751736775976</v>
      </c>
      <c r="G25" s="43">
        <f t="shared" si="2"/>
        <v>107.47651042065586</v>
      </c>
    </row>
    <row r="26" spans="2:7">
      <c r="B26" s="48">
        <f t="shared" si="4"/>
        <v>14</v>
      </c>
      <c r="C26" s="42">
        <f t="shared" si="0"/>
        <v>500</v>
      </c>
      <c r="D26" s="42">
        <f t="shared" si="5"/>
        <v>17912.751736775976</v>
      </c>
      <c r="E26" s="42">
        <f t="shared" si="1"/>
        <v>143.30201389420782</v>
      </c>
      <c r="F26" s="42">
        <f t="shared" ref="F26:F30" si="6">C26+D26+E26</f>
        <v>18556.053750670184</v>
      </c>
      <c r="G26" s="43">
        <f t="shared" si="2"/>
        <v>111.33632250402111</v>
      </c>
    </row>
    <row r="27" spans="2:7">
      <c r="B27" s="48">
        <f t="shared" si="4"/>
        <v>15</v>
      </c>
      <c r="C27" s="42">
        <f t="shared" si="0"/>
        <v>500</v>
      </c>
      <c r="D27" s="42">
        <f t="shared" si="5"/>
        <v>18556.053750670184</v>
      </c>
      <c r="E27" s="42">
        <f t="shared" si="1"/>
        <v>148.44843000536147</v>
      </c>
      <c r="F27" s="42">
        <f t="shared" si="6"/>
        <v>19204.502180675547</v>
      </c>
      <c r="G27" s="43">
        <f t="shared" si="2"/>
        <v>115.22701308405328</v>
      </c>
    </row>
    <row r="28" spans="2:7">
      <c r="B28" s="48">
        <f t="shared" si="4"/>
        <v>16</v>
      </c>
      <c r="C28" s="42">
        <f t="shared" si="0"/>
        <v>500</v>
      </c>
      <c r="D28" s="42">
        <f t="shared" si="5"/>
        <v>19204.502180675547</v>
      </c>
      <c r="E28" s="42">
        <f t="shared" si="1"/>
        <v>153.63601744540438</v>
      </c>
      <c r="F28" s="42">
        <f t="shared" si="6"/>
        <v>19858.138198120952</v>
      </c>
      <c r="G28" s="43">
        <f t="shared" si="2"/>
        <v>119.14882918872571</v>
      </c>
    </row>
    <row r="29" spans="2:7">
      <c r="B29" s="48">
        <f t="shared" si="4"/>
        <v>17</v>
      </c>
      <c r="C29" s="42">
        <f t="shared" si="0"/>
        <v>500</v>
      </c>
      <c r="D29" s="42">
        <f t="shared" si="5"/>
        <v>19858.138198120952</v>
      </c>
      <c r="E29" s="42">
        <f t="shared" si="1"/>
        <v>158.86510558496764</v>
      </c>
      <c r="F29" s="42">
        <f t="shared" si="6"/>
        <v>20517.003303705918</v>
      </c>
      <c r="G29" s="43">
        <f t="shared" si="2"/>
        <v>123.10201982223552</v>
      </c>
    </row>
    <row r="30" spans="2:7">
      <c r="B30" s="48">
        <f t="shared" si="4"/>
        <v>18</v>
      </c>
      <c r="C30" s="42">
        <f t="shared" si="0"/>
        <v>500</v>
      </c>
      <c r="D30" s="42">
        <f t="shared" si="5"/>
        <v>20517.003303705918</v>
      </c>
      <c r="E30" s="42">
        <f t="shared" si="1"/>
        <v>164.13602642964736</v>
      </c>
      <c r="F30" s="42">
        <f t="shared" si="6"/>
        <v>21181.139330135567</v>
      </c>
      <c r="G30" s="43">
        <f t="shared" si="2"/>
        <v>127.0868359808134</v>
      </c>
    </row>
    <row r="31" spans="2:7">
      <c r="B31" s="48">
        <f t="shared" si="4"/>
        <v>19</v>
      </c>
      <c r="C31" s="42">
        <f t="shared" si="0"/>
        <v>500</v>
      </c>
      <c r="D31" s="42">
        <f t="shared" ref="D31:D94" si="7">$F30</f>
        <v>21181.139330135567</v>
      </c>
      <c r="E31" s="42">
        <f t="shared" si="1"/>
        <v>169.44911464108455</v>
      </c>
      <c r="F31" s="42">
        <f t="shared" ref="F31:F72" si="8">C31+D31+E31</f>
        <v>21850.588444776651</v>
      </c>
      <c r="G31" s="43">
        <f t="shared" si="2"/>
        <v>131.10353066865991</v>
      </c>
    </row>
    <row r="32" spans="2:7">
      <c r="B32" s="48">
        <f t="shared" si="4"/>
        <v>20</v>
      </c>
      <c r="C32" s="42">
        <f t="shared" si="0"/>
        <v>500</v>
      </c>
      <c r="D32" s="42">
        <f t="shared" si="7"/>
        <v>21850.588444776651</v>
      </c>
      <c r="E32" s="42">
        <f t="shared" si="1"/>
        <v>174.80470755821321</v>
      </c>
      <c r="F32" s="42">
        <f t="shared" si="8"/>
        <v>22525.393152334866</v>
      </c>
      <c r="G32" s="43">
        <f t="shared" si="2"/>
        <v>135.1523589140092</v>
      </c>
    </row>
    <row r="33" spans="2:7">
      <c r="B33" s="48">
        <f t="shared" si="4"/>
        <v>21</v>
      </c>
      <c r="C33" s="42">
        <f t="shared" si="0"/>
        <v>500</v>
      </c>
      <c r="D33" s="42">
        <f t="shared" si="7"/>
        <v>22525.393152334866</v>
      </c>
      <c r="E33" s="42">
        <f t="shared" si="1"/>
        <v>180.20314521867894</v>
      </c>
      <c r="F33" s="42">
        <f t="shared" si="8"/>
        <v>23205.596297553544</v>
      </c>
      <c r="G33" s="43">
        <f t="shared" si="2"/>
        <v>139.23357778532127</v>
      </c>
    </row>
    <row r="34" spans="2:7">
      <c r="B34" s="48">
        <f t="shared" si="4"/>
        <v>22</v>
      </c>
      <c r="C34" s="42">
        <f t="shared" si="0"/>
        <v>500</v>
      </c>
      <c r="D34" s="42">
        <f t="shared" si="7"/>
        <v>23205.596297553544</v>
      </c>
      <c r="E34" s="42">
        <f t="shared" si="1"/>
        <v>185.64477038042835</v>
      </c>
      <c r="F34" s="42">
        <f t="shared" si="8"/>
        <v>23891.241067933974</v>
      </c>
      <c r="G34" s="43">
        <f t="shared" si="2"/>
        <v>143.34744640760385</v>
      </c>
    </row>
    <row r="35" spans="2:7">
      <c r="B35" s="48">
        <f t="shared" si="4"/>
        <v>23</v>
      </c>
      <c r="C35" s="42">
        <f t="shared" si="0"/>
        <v>500</v>
      </c>
      <c r="D35" s="42">
        <f t="shared" si="7"/>
        <v>23891.241067933974</v>
      </c>
      <c r="E35" s="42">
        <f t="shared" si="1"/>
        <v>191.12992854347181</v>
      </c>
      <c r="F35" s="42">
        <f t="shared" si="8"/>
        <v>24582.370996477446</v>
      </c>
      <c r="G35" s="43">
        <f t="shared" si="2"/>
        <v>147.49422597886468</v>
      </c>
    </row>
    <row r="36" spans="2:7">
      <c r="B36" s="48">
        <f t="shared" si="4"/>
        <v>24</v>
      </c>
      <c r="C36" s="42">
        <f t="shared" si="0"/>
        <v>500</v>
      </c>
      <c r="D36" s="42">
        <f t="shared" si="7"/>
        <v>24582.370996477446</v>
      </c>
      <c r="E36" s="42">
        <f t="shared" si="1"/>
        <v>196.65896797181958</v>
      </c>
      <c r="F36" s="42">
        <f t="shared" si="8"/>
        <v>25279.029964449266</v>
      </c>
      <c r="G36" s="43">
        <f t="shared" si="2"/>
        <v>151.67417978669559</v>
      </c>
    </row>
    <row r="37" spans="2:7">
      <c r="B37" s="48">
        <f t="shared" si="4"/>
        <v>25</v>
      </c>
      <c r="C37" s="42">
        <f t="shared" si="0"/>
        <v>500</v>
      </c>
      <c r="D37" s="42">
        <f t="shared" si="7"/>
        <v>25279.029964449266</v>
      </c>
      <c r="E37" s="42">
        <f t="shared" si="1"/>
        <v>202.23223971559412</v>
      </c>
      <c r="F37" s="42">
        <f t="shared" si="8"/>
        <v>25981.262204164861</v>
      </c>
      <c r="G37" s="43">
        <f t="shared" si="2"/>
        <v>155.88757322498918</v>
      </c>
    </row>
    <row r="38" spans="2:7">
      <c r="B38" s="48">
        <f t="shared" si="4"/>
        <v>26</v>
      </c>
      <c r="C38" s="42">
        <f t="shared" si="0"/>
        <v>500</v>
      </c>
      <c r="D38" s="42">
        <f t="shared" si="7"/>
        <v>25981.262204164861</v>
      </c>
      <c r="E38" s="42">
        <f t="shared" si="1"/>
        <v>207.85009763331888</v>
      </c>
      <c r="F38" s="42">
        <f t="shared" si="8"/>
        <v>26689.112301798181</v>
      </c>
      <c r="G38" s="43">
        <f t="shared" si="2"/>
        <v>160.13467381078908</v>
      </c>
    </row>
    <row r="39" spans="2:7">
      <c r="B39" s="48">
        <f t="shared" si="4"/>
        <v>27</v>
      </c>
      <c r="C39" s="42">
        <f t="shared" si="0"/>
        <v>500</v>
      </c>
      <c r="D39" s="42">
        <f t="shared" si="7"/>
        <v>26689.112301798181</v>
      </c>
      <c r="E39" s="42">
        <f t="shared" si="1"/>
        <v>213.51289841438546</v>
      </c>
      <c r="F39" s="42">
        <f t="shared" si="8"/>
        <v>27402.625200212566</v>
      </c>
      <c r="G39" s="43">
        <f t="shared" si="2"/>
        <v>164.41575120127538</v>
      </c>
    </row>
    <row r="40" spans="2:7">
      <c r="B40" s="48">
        <f t="shared" si="4"/>
        <v>28</v>
      </c>
      <c r="C40" s="42">
        <f t="shared" si="0"/>
        <v>500</v>
      </c>
      <c r="D40" s="42">
        <f t="shared" si="7"/>
        <v>27402.625200212566</v>
      </c>
      <c r="E40" s="42">
        <f t="shared" si="1"/>
        <v>219.22100160170052</v>
      </c>
      <c r="F40" s="42">
        <f t="shared" si="8"/>
        <v>28121.846201814267</v>
      </c>
      <c r="G40" s="43">
        <f t="shared" si="2"/>
        <v>168.73107721088562</v>
      </c>
    </row>
    <row r="41" spans="2:7">
      <c r="B41" s="48">
        <f t="shared" si="4"/>
        <v>29</v>
      </c>
      <c r="C41" s="42">
        <f t="shared" si="0"/>
        <v>500</v>
      </c>
      <c r="D41" s="42">
        <f t="shared" si="7"/>
        <v>28121.846201814267</v>
      </c>
      <c r="E41" s="42">
        <f t="shared" si="1"/>
        <v>224.97476961451414</v>
      </c>
      <c r="F41" s="42">
        <f t="shared" si="8"/>
        <v>28846.82097142878</v>
      </c>
      <c r="G41" s="43">
        <f t="shared" si="2"/>
        <v>173.08092582857267</v>
      </c>
    </row>
    <row r="42" spans="2:7">
      <c r="B42" s="48">
        <f t="shared" si="4"/>
        <v>30</v>
      </c>
      <c r="C42" s="42">
        <f t="shared" si="0"/>
        <v>500</v>
      </c>
      <c r="D42" s="42">
        <f t="shared" si="7"/>
        <v>28846.82097142878</v>
      </c>
      <c r="E42" s="42">
        <f t="shared" si="1"/>
        <v>230.77456777143024</v>
      </c>
      <c r="F42" s="42">
        <f t="shared" si="8"/>
        <v>29577.595539200211</v>
      </c>
      <c r="G42" s="43">
        <f t="shared" si="2"/>
        <v>177.46557323520128</v>
      </c>
    </row>
    <row r="43" spans="2:7">
      <c r="B43" s="48">
        <f t="shared" si="4"/>
        <v>31</v>
      </c>
      <c r="C43" s="42">
        <f t="shared" si="0"/>
        <v>500</v>
      </c>
      <c r="D43" s="42">
        <f t="shared" si="7"/>
        <v>29577.595539200211</v>
      </c>
      <c r="E43" s="42">
        <f t="shared" si="1"/>
        <v>236.62076431360168</v>
      </c>
      <c r="F43" s="42">
        <f t="shared" si="8"/>
        <v>30314.216303513811</v>
      </c>
      <c r="G43" s="43">
        <f t="shared" si="2"/>
        <v>181.88529782108287</v>
      </c>
    </row>
    <row r="44" spans="2:7">
      <c r="B44" s="48">
        <f t="shared" si="4"/>
        <v>32</v>
      </c>
      <c r="C44" s="42">
        <f t="shared" si="0"/>
        <v>500</v>
      </c>
      <c r="D44" s="42">
        <f t="shared" si="7"/>
        <v>30314.216303513811</v>
      </c>
      <c r="E44" s="42">
        <f t="shared" si="1"/>
        <v>242.51373042811051</v>
      </c>
      <c r="F44" s="42">
        <f t="shared" si="8"/>
        <v>31056.73003394192</v>
      </c>
      <c r="G44" s="43">
        <f t="shared" si="2"/>
        <v>186.34038020365153</v>
      </c>
    </row>
    <row r="45" spans="2:7">
      <c r="B45" s="48">
        <f t="shared" si="4"/>
        <v>33</v>
      </c>
      <c r="C45" s="42">
        <f t="shared" ref="C45:C108" si="9">aporte_mensal</f>
        <v>500</v>
      </c>
      <c r="D45" s="42">
        <f t="shared" si="7"/>
        <v>31056.73003394192</v>
      </c>
      <c r="E45" s="42">
        <f t="shared" ref="E45:E108" si="10">D45*taxa</f>
        <v>248.45384027153537</v>
      </c>
      <c r="F45" s="42">
        <f t="shared" si="8"/>
        <v>31805.183874213457</v>
      </c>
      <c r="G45" s="43">
        <f t="shared" ref="G45:G108" si="11">F45*rendimento_carteira</f>
        <v>190.83110324528076</v>
      </c>
    </row>
    <row r="46" spans="2:7">
      <c r="B46" s="48">
        <f t="shared" si="4"/>
        <v>34</v>
      </c>
      <c r="C46" s="42">
        <f t="shared" si="9"/>
        <v>500</v>
      </c>
      <c r="D46" s="42">
        <f t="shared" si="7"/>
        <v>31805.183874213457</v>
      </c>
      <c r="E46" s="42">
        <f t="shared" si="10"/>
        <v>254.44147099370767</v>
      </c>
      <c r="F46" s="42">
        <f t="shared" si="8"/>
        <v>32559.625345207165</v>
      </c>
      <c r="G46" s="43">
        <f t="shared" si="11"/>
        <v>195.357752071243</v>
      </c>
    </row>
    <row r="47" spans="2:7">
      <c r="B47" s="48">
        <f t="shared" si="4"/>
        <v>35</v>
      </c>
      <c r="C47" s="42">
        <f t="shared" si="9"/>
        <v>500</v>
      </c>
      <c r="D47" s="42">
        <f t="shared" si="7"/>
        <v>32559.625345207165</v>
      </c>
      <c r="E47" s="42">
        <f t="shared" si="10"/>
        <v>260.47700276165733</v>
      </c>
      <c r="F47" s="42">
        <f t="shared" si="8"/>
        <v>33320.102347968823</v>
      </c>
      <c r="G47" s="43">
        <f t="shared" si="11"/>
        <v>199.92061408781294</v>
      </c>
    </row>
    <row r="48" spans="2:7">
      <c r="B48" s="48">
        <f t="shared" si="4"/>
        <v>36</v>
      </c>
      <c r="C48" s="42">
        <f t="shared" si="9"/>
        <v>500</v>
      </c>
      <c r="D48" s="42">
        <f t="shared" si="7"/>
        <v>33320.102347968823</v>
      </c>
      <c r="E48" s="42">
        <f t="shared" si="10"/>
        <v>266.56081878375056</v>
      </c>
      <c r="F48" s="42">
        <f t="shared" si="8"/>
        <v>34086.663166752573</v>
      </c>
      <c r="G48" s="43">
        <f t="shared" si="11"/>
        <v>204.51997900051543</v>
      </c>
    </row>
    <row r="49" spans="2:7">
      <c r="B49" s="48">
        <f t="shared" si="4"/>
        <v>37</v>
      </c>
      <c r="C49" s="42">
        <f t="shared" si="9"/>
        <v>500</v>
      </c>
      <c r="D49" s="42">
        <f t="shared" si="7"/>
        <v>34086.663166752573</v>
      </c>
      <c r="E49" s="42">
        <f t="shared" si="10"/>
        <v>272.69330533402058</v>
      </c>
      <c r="F49" s="42">
        <f t="shared" si="8"/>
        <v>34859.356472086591</v>
      </c>
      <c r="G49" s="43">
        <f t="shared" si="11"/>
        <v>209.15613883251956</v>
      </c>
    </row>
    <row r="50" spans="2:7">
      <c r="B50" s="48">
        <f t="shared" si="4"/>
        <v>38</v>
      </c>
      <c r="C50" s="42">
        <f t="shared" si="9"/>
        <v>500</v>
      </c>
      <c r="D50" s="42">
        <f t="shared" si="7"/>
        <v>34859.356472086591</v>
      </c>
      <c r="E50" s="42">
        <f t="shared" si="10"/>
        <v>278.87485177669271</v>
      </c>
      <c r="F50" s="42">
        <f t="shared" si="8"/>
        <v>35638.231323863285</v>
      </c>
      <c r="G50" s="43">
        <f t="shared" si="11"/>
        <v>213.82938794317971</v>
      </c>
    </row>
    <row r="51" spans="2:7">
      <c r="B51" s="48">
        <f t="shared" si="4"/>
        <v>39</v>
      </c>
      <c r="C51" s="42">
        <f t="shared" si="9"/>
        <v>500</v>
      </c>
      <c r="D51" s="42">
        <f t="shared" si="7"/>
        <v>35638.231323863285</v>
      </c>
      <c r="E51" s="42">
        <f t="shared" si="10"/>
        <v>285.1058505909063</v>
      </c>
      <c r="F51" s="42">
        <f t="shared" si="8"/>
        <v>36423.337174454195</v>
      </c>
      <c r="G51" s="43">
        <f t="shared" si="11"/>
        <v>218.54002304672517</v>
      </c>
    </row>
    <row r="52" spans="2:7">
      <c r="B52" s="48">
        <f t="shared" si="4"/>
        <v>40</v>
      </c>
      <c r="C52" s="42">
        <f t="shared" si="9"/>
        <v>500</v>
      </c>
      <c r="D52" s="42">
        <f t="shared" si="7"/>
        <v>36423.337174454195</v>
      </c>
      <c r="E52" s="42">
        <f t="shared" si="10"/>
        <v>291.38669739563358</v>
      </c>
      <c r="F52" s="42">
        <f t="shared" si="8"/>
        <v>37214.723871849827</v>
      </c>
      <c r="G52" s="43">
        <f t="shared" si="11"/>
        <v>223.28834323109896</v>
      </c>
    </row>
    <row r="53" spans="2:7">
      <c r="B53" s="48">
        <f t="shared" si="4"/>
        <v>41</v>
      </c>
      <c r="C53" s="42">
        <f t="shared" si="9"/>
        <v>500</v>
      </c>
      <c r="D53" s="42">
        <f t="shared" si="7"/>
        <v>37214.723871849827</v>
      </c>
      <c r="E53" s="42">
        <f t="shared" si="10"/>
        <v>297.71779097479862</v>
      </c>
      <c r="F53" s="42">
        <f t="shared" si="8"/>
        <v>38012.441662824625</v>
      </c>
      <c r="G53" s="43">
        <f t="shared" si="11"/>
        <v>228.07464997694777</v>
      </c>
    </row>
    <row r="54" spans="2:7">
      <c r="B54" s="48">
        <f t="shared" si="4"/>
        <v>42</v>
      </c>
      <c r="C54" s="42">
        <f t="shared" si="9"/>
        <v>500</v>
      </c>
      <c r="D54" s="42">
        <f t="shared" si="7"/>
        <v>38012.441662824625</v>
      </c>
      <c r="E54" s="42">
        <f t="shared" si="10"/>
        <v>304.09953330259702</v>
      </c>
      <c r="F54" s="42">
        <f t="shared" si="8"/>
        <v>38816.541196127226</v>
      </c>
      <c r="G54" s="43">
        <f t="shared" si="11"/>
        <v>232.89924717676337</v>
      </c>
    </row>
    <row r="55" spans="2:7">
      <c r="B55" s="48">
        <f t="shared" si="4"/>
        <v>43</v>
      </c>
      <c r="C55" s="42">
        <f t="shared" si="9"/>
        <v>500</v>
      </c>
      <c r="D55" s="42">
        <f t="shared" si="7"/>
        <v>38816.541196127226</v>
      </c>
      <c r="E55" s="42">
        <f t="shared" si="10"/>
        <v>310.5323295690178</v>
      </c>
      <c r="F55" s="42">
        <f t="shared" si="8"/>
        <v>39627.073525696243</v>
      </c>
      <c r="G55" s="43">
        <f t="shared" si="11"/>
        <v>237.76244115417745</v>
      </c>
    </row>
    <row r="56" spans="2:7">
      <c r="B56" s="48">
        <f t="shared" si="4"/>
        <v>44</v>
      </c>
      <c r="C56" s="42">
        <f t="shared" si="9"/>
        <v>500</v>
      </c>
      <c r="D56" s="42">
        <f t="shared" si="7"/>
        <v>39627.073525696243</v>
      </c>
      <c r="E56" s="42">
        <f t="shared" si="10"/>
        <v>317.01658820556997</v>
      </c>
      <c r="F56" s="42">
        <f t="shared" si="8"/>
        <v>40444.090113901817</v>
      </c>
      <c r="G56" s="43">
        <f t="shared" si="11"/>
        <v>242.66454068341091</v>
      </c>
    </row>
    <row r="57" spans="2:7">
      <c r="B57" s="48">
        <f t="shared" si="4"/>
        <v>45</v>
      </c>
      <c r="C57" s="42">
        <f t="shared" si="9"/>
        <v>500</v>
      </c>
      <c r="D57" s="42">
        <f t="shared" si="7"/>
        <v>40444.090113901817</v>
      </c>
      <c r="E57" s="42">
        <f t="shared" si="10"/>
        <v>323.55272091121452</v>
      </c>
      <c r="F57" s="42">
        <f t="shared" si="8"/>
        <v>41267.642834813028</v>
      </c>
      <c r="G57" s="43">
        <f t="shared" si="11"/>
        <v>247.60585700887819</v>
      </c>
    </row>
    <row r="58" spans="2:7">
      <c r="B58" s="48">
        <f t="shared" si="4"/>
        <v>46</v>
      </c>
      <c r="C58" s="42">
        <f t="shared" si="9"/>
        <v>500</v>
      </c>
      <c r="D58" s="42">
        <f t="shared" si="7"/>
        <v>41267.642834813028</v>
      </c>
      <c r="E58" s="42">
        <f t="shared" si="10"/>
        <v>330.14114267850425</v>
      </c>
      <c r="F58" s="42">
        <f t="shared" si="8"/>
        <v>42097.783977491534</v>
      </c>
      <c r="G58" s="43">
        <f t="shared" si="11"/>
        <v>252.58670386494921</v>
      </c>
    </row>
    <row r="59" spans="2:7">
      <c r="B59" s="48">
        <f t="shared" si="4"/>
        <v>47</v>
      </c>
      <c r="C59" s="42">
        <f t="shared" si="9"/>
        <v>500</v>
      </c>
      <c r="D59" s="42">
        <f t="shared" si="7"/>
        <v>42097.783977491534</v>
      </c>
      <c r="E59" s="42">
        <f t="shared" si="10"/>
        <v>336.7822718199323</v>
      </c>
      <c r="F59" s="42">
        <f t="shared" si="8"/>
        <v>42934.566249311465</v>
      </c>
      <c r="G59" s="43">
        <f t="shared" si="11"/>
        <v>257.60739749586878</v>
      </c>
    </row>
    <row r="60" spans="2:7">
      <c r="B60" s="48">
        <f t="shared" si="4"/>
        <v>48</v>
      </c>
      <c r="C60" s="42">
        <f t="shared" si="9"/>
        <v>500</v>
      </c>
      <c r="D60" s="42">
        <f t="shared" si="7"/>
        <v>42934.566249311465</v>
      </c>
      <c r="E60" s="42">
        <f t="shared" si="10"/>
        <v>343.47652999449173</v>
      </c>
      <c r="F60" s="42">
        <f t="shared" si="8"/>
        <v>43778.042779305957</v>
      </c>
      <c r="G60" s="43">
        <f t="shared" si="11"/>
        <v>262.66825667583572</v>
      </c>
    </row>
    <row r="61" spans="2:7">
      <c r="B61" s="48">
        <f t="shared" si="4"/>
        <v>49</v>
      </c>
      <c r="C61" s="42">
        <f t="shared" si="9"/>
        <v>500</v>
      </c>
      <c r="D61" s="42">
        <f t="shared" si="7"/>
        <v>43778.042779305957</v>
      </c>
      <c r="E61" s="42">
        <f t="shared" si="10"/>
        <v>350.22434223444765</v>
      </c>
      <c r="F61" s="42">
        <f t="shared" si="8"/>
        <v>44628.267121540404</v>
      </c>
      <c r="G61" s="43">
        <f t="shared" si="11"/>
        <v>267.76960272924242</v>
      </c>
    </row>
    <row r="62" spans="2:7">
      <c r="B62" s="48">
        <f t="shared" si="4"/>
        <v>50</v>
      </c>
      <c r="C62" s="42">
        <f t="shared" si="9"/>
        <v>500</v>
      </c>
      <c r="D62" s="42">
        <f t="shared" si="7"/>
        <v>44628.267121540404</v>
      </c>
      <c r="E62" s="42">
        <f t="shared" si="10"/>
        <v>357.02613697232323</v>
      </c>
      <c r="F62" s="42">
        <f t="shared" si="8"/>
        <v>45485.293258512727</v>
      </c>
      <c r="G62" s="43">
        <f t="shared" si="11"/>
        <v>272.91175955107639</v>
      </c>
    </row>
    <row r="63" spans="2:7">
      <c r="B63" s="48">
        <f t="shared" si="4"/>
        <v>51</v>
      </c>
      <c r="C63" s="42">
        <f t="shared" si="9"/>
        <v>500</v>
      </c>
      <c r="D63" s="42">
        <f t="shared" si="7"/>
        <v>45485.293258512727</v>
      </c>
      <c r="E63" s="42">
        <f t="shared" si="10"/>
        <v>363.88234606810181</v>
      </c>
      <c r="F63" s="42">
        <f t="shared" si="8"/>
        <v>46349.175604580829</v>
      </c>
      <c r="G63" s="43">
        <f t="shared" si="11"/>
        <v>278.09505362748496</v>
      </c>
    </row>
    <row r="64" spans="2:7">
      <c r="B64" s="48">
        <f t="shared" si="4"/>
        <v>52</v>
      </c>
      <c r="C64" s="42">
        <f t="shared" si="9"/>
        <v>500</v>
      </c>
      <c r="D64" s="42">
        <f t="shared" si="7"/>
        <v>46349.175604580829</v>
      </c>
      <c r="E64" s="42">
        <f t="shared" si="10"/>
        <v>370.79340483664663</v>
      </c>
      <c r="F64" s="42">
        <f t="shared" si="8"/>
        <v>47219.969009417473</v>
      </c>
      <c r="G64" s="43">
        <f t="shared" si="11"/>
        <v>283.31981405650487</v>
      </c>
    </row>
    <row r="65" spans="2:7">
      <c r="B65" s="48">
        <f t="shared" si="4"/>
        <v>53</v>
      </c>
      <c r="C65" s="42">
        <f t="shared" si="9"/>
        <v>500</v>
      </c>
      <c r="D65" s="42">
        <f t="shared" si="7"/>
        <v>47219.969009417473</v>
      </c>
      <c r="E65" s="42">
        <f t="shared" si="10"/>
        <v>377.7597520753398</v>
      </c>
      <c r="F65" s="42">
        <f t="shared" si="8"/>
        <v>48097.728761492814</v>
      </c>
      <c r="G65" s="43">
        <f t="shared" si="11"/>
        <v>288.5863725689569</v>
      </c>
    </row>
    <row r="66" spans="2:7">
      <c r="B66" s="48">
        <f t="shared" si="4"/>
        <v>54</v>
      </c>
      <c r="C66" s="42">
        <f t="shared" si="9"/>
        <v>500</v>
      </c>
      <c r="D66" s="42">
        <f t="shared" si="7"/>
        <v>48097.728761492814</v>
      </c>
      <c r="E66" s="42">
        <f t="shared" si="10"/>
        <v>384.78183009194254</v>
      </c>
      <c r="F66" s="42">
        <f t="shared" si="8"/>
        <v>48982.510591584753</v>
      </c>
      <c r="G66" s="43">
        <f t="shared" si="11"/>
        <v>293.89506354950851</v>
      </c>
    </row>
    <row r="67" spans="2:7">
      <c r="B67" s="48">
        <f t="shared" si="4"/>
        <v>55</v>
      </c>
      <c r="C67" s="42">
        <f t="shared" si="9"/>
        <v>500</v>
      </c>
      <c r="D67" s="42">
        <f t="shared" si="7"/>
        <v>48982.510591584753</v>
      </c>
      <c r="E67" s="42">
        <f t="shared" si="10"/>
        <v>391.86008473267805</v>
      </c>
      <c r="F67" s="42">
        <f t="shared" si="8"/>
        <v>49874.370676317434</v>
      </c>
      <c r="G67" s="43">
        <f t="shared" si="11"/>
        <v>299.24622405790461</v>
      </c>
    </row>
    <row r="68" spans="2:7">
      <c r="B68" s="48">
        <f t="shared" si="4"/>
        <v>56</v>
      </c>
      <c r="C68" s="42">
        <f t="shared" si="9"/>
        <v>500</v>
      </c>
      <c r="D68" s="42">
        <f t="shared" si="7"/>
        <v>49874.370676317434</v>
      </c>
      <c r="E68" s="42">
        <f t="shared" si="10"/>
        <v>398.99496541053946</v>
      </c>
      <c r="F68" s="42">
        <f t="shared" si="8"/>
        <v>50773.365641727971</v>
      </c>
      <c r="G68" s="43">
        <f t="shared" si="11"/>
        <v>304.64019385036784</v>
      </c>
    </row>
    <row r="69" spans="2:7">
      <c r="B69" s="48">
        <f t="shared" si="4"/>
        <v>57</v>
      </c>
      <c r="C69" s="42">
        <f t="shared" si="9"/>
        <v>500</v>
      </c>
      <c r="D69" s="42">
        <f t="shared" si="7"/>
        <v>50773.365641727971</v>
      </c>
      <c r="E69" s="42">
        <f t="shared" si="10"/>
        <v>406.18692513382376</v>
      </c>
      <c r="F69" s="42">
        <f t="shared" si="8"/>
        <v>51679.552566861792</v>
      </c>
      <c r="G69" s="43">
        <f t="shared" si="11"/>
        <v>310.07731540117078</v>
      </c>
    </row>
    <row r="70" spans="2:7">
      <c r="B70" s="48">
        <f t="shared" si="4"/>
        <v>58</v>
      </c>
      <c r="C70" s="42">
        <f t="shared" si="9"/>
        <v>500</v>
      </c>
      <c r="D70" s="42">
        <f t="shared" si="7"/>
        <v>51679.552566861792</v>
      </c>
      <c r="E70" s="42">
        <f t="shared" si="10"/>
        <v>413.43642053489435</v>
      </c>
      <c r="F70" s="42">
        <f t="shared" si="8"/>
        <v>52592.988987396689</v>
      </c>
      <c r="G70" s="43">
        <f t="shared" si="11"/>
        <v>315.55793392438017</v>
      </c>
    </row>
    <row r="71" spans="2:7">
      <c r="B71" s="48">
        <f t="shared" si="4"/>
        <v>59</v>
      </c>
      <c r="C71" s="42">
        <f t="shared" si="9"/>
        <v>500</v>
      </c>
      <c r="D71" s="42">
        <f t="shared" si="7"/>
        <v>52592.988987396689</v>
      </c>
      <c r="E71" s="42">
        <f t="shared" si="10"/>
        <v>420.7439118991735</v>
      </c>
      <c r="F71" s="42">
        <f t="shared" si="8"/>
        <v>53513.732899295865</v>
      </c>
      <c r="G71" s="43">
        <f t="shared" si="11"/>
        <v>321.08239739577522</v>
      </c>
    </row>
    <row r="72" spans="2:7">
      <c r="B72" s="48">
        <f t="shared" si="4"/>
        <v>60</v>
      </c>
      <c r="C72" s="42">
        <f t="shared" si="9"/>
        <v>500</v>
      </c>
      <c r="D72" s="42">
        <f t="shared" si="7"/>
        <v>53513.732899295865</v>
      </c>
      <c r="E72" s="42">
        <f t="shared" si="10"/>
        <v>428.10986319436694</v>
      </c>
      <c r="F72" s="42">
        <f t="shared" si="8"/>
        <v>54441.842762490232</v>
      </c>
      <c r="G72" s="43">
        <f t="shared" si="11"/>
        <v>326.65105657494138</v>
      </c>
    </row>
    <row r="73" spans="2:7">
      <c r="B73" s="48">
        <f t="shared" si="4"/>
        <v>61</v>
      </c>
      <c r="C73" s="42">
        <f t="shared" si="9"/>
        <v>500</v>
      </c>
      <c r="D73" s="42">
        <f t="shared" si="7"/>
        <v>54441.842762490232</v>
      </c>
      <c r="E73" s="42">
        <f t="shared" si="10"/>
        <v>435.53474209992186</v>
      </c>
      <c r="F73" s="42">
        <f t="shared" ref="F73:F131" si="12">C73+D73+E73</f>
        <v>55377.377504590157</v>
      </c>
      <c r="G73" s="43">
        <f t="shared" si="11"/>
        <v>332.26426502754094</v>
      </c>
    </row>
    <row r="74" spans="2:7">
      <c r="B74" s="48">
        <f t="shared" si="4"/>
        <v>62</v>
      </c>
      <c r="C74" s="42">
        <f t="shared" si="9"/>
        <v>500</v>
      </c>
      <c r="D74" s="42">
        <f t="shared" si="7"/>
        <v>55377.377504590157</v>
      </c>
      <c r="E74" s="42">
        <f t="shared" si="10"/>
        <v>443.01902003672126</v>
      </c>
      <c r="F74" s="42">
        <f t="shared" si="12"/>
        <v>56320.396524626878</v>
      </c>
      <c r="G74" s="43">
        <f t="shared" si="11"/>
        <v>337.92237914776126</v>
      </c>
    </row>
    <row r="75" spans="2:7">
      <c r="B75" s="48">
        <f t="shared" si="4"/>
        <v>63</v>
      </c>
      <c r="C75" s="42">
        <f t="shared" si="9"/>
        <v>500</v>
      </c>
      <c r="D75" s="42">
        <f t="shared" si="7"/>
        <v>56320.396524626878</v>
      </c>
      <c r="E75" s="42">
        <f t="shared" si="10"/>
        <v>450.56317219701504</v>
      </c>
      <c r="F75" s="42">
        <f t="shared" si="12"/>
        <v>57270.959696823891</v>
      </c>
      <c r="G75" s="43">
        <f t="shared" si="11"/>
        <v>343.62575818094336</v>
      </c>
    </row>
    <row r="76" spans="2:7">
      <c r="B76" s="48">
        <f t="shared" si="4"/>
        <v>64</v>
      </c>
      <c r="C76" s="42">
        <f t="shared" si="9"/>
        <v>500</v>
      </c>
      <c r="D76" s="42">
        <f t="shared" si="7"/>
        <v>57270.959696823891</v>
      </c>
      <c r="E76" s="42">
        <f t="shared" si="10"/>
        <v>458.16767757459115</v>
      </c>
      <c r="F76" s="42">
        <f t="shared" si="12"/>
        <v>58229.127374398486</v>
      </c>
      <c r="G76" s="43">
        <f t="shared" si="11"/>
        <v>349.3747642463909</v>
      </c>
    </row>
    <row r="77" spans="2:7">
      <c r="B77" s="48">
        <f t="shared" si="4"/>
        <v>65</v>
      </c>
      <c r="C77" s="42">
        <f t="shared" si="9"/>
        <v>500</v>
      </c>
      <c r="D77" s="42">
        <f t="shared" si="7"/>
        <v>58229.127374398486</v>
      </c>
      <c r="E77" s="42">
        <f t="shared" si="10"/>
        <v>465.8330189951879</v>
      </c>
      <c r="F77" s="42">
        <f t="shared" si="12"/>
        <v>59194.960393393674</v>
      </c>
      <c r="G77" s="43">
        <f t="shared" si="11"/>
        <v>355.16976236036203</v>
      </c>
    </row>
    <row r="78" spans="2:7">
      <c r="B78" s="48">
        <f t="shared" si="4"/>
        <v>66</v>
      </c>
      <c r="C78" s="42">
        <f t="shared" si="9"/>
        <v>500</v>
      </c>
      <c r="D78" s="42">
        <f t="shared" si="7"/>
        <v>59194.960393393674</v>
      </c>
      <c r="E78" s="42">
        <f t="shared" si="10"/>
        <v>473.55968314714943</v>
      </c>
      <c r="F78" s="42">
        <f t="shared" si="12"/>
        <v>60168.520076540823</v>
      </c>
      <c r="G78" s="43">
        <f t="shared" si="11"/>
        <v>361.01112045924492</v>
      </c>
    </row>
    <row r="79" spans="2:7">
      <c r="B79" s="48">
        <f t="shared" ref="B79:B131" si="13">B78+1</f>
        <v>67</v>
      </c>
      <c r="C79" s="42">
        <f t="shared" si="9"/>
        <v>500</v>
      </c>
      <c r="D79" s="42">
        <f t="shared" si="7"/>
        <v>60168.520076540823</v>
      </c>
      <c r="E79" s="42">
        <f t="shared" si="10"/>
        <v>481.34816061232658</v>
      </c>
      <c r="F79" s="42">
        <f t="shared" si="12"/>
        <v>61149.868237153147</v>
      </c>
      <c r="G79" s="43">
        <f t="shared" si="11"/>
        <v>366.89920942291889</v>
      </c>
    </row>
    <row r="80" spans="2:7">
      <c r="B80" s="48">
        <f t="shared" si="13"/>
        <v>68</v>
      </c>
      <c r="C80" s="42">
        <f t="shared" si="9"/>
        <v>500</v>
      </c>
      <c r="D80" s="42">
        <f t="shared" si="7"/>
        <v>61149.868237153147</v>
      </c>
      <c r="E80" s="42">
        <f t="shared" si="10"/>
        <v>489.1989458972252</v>
      </c>
      <c r="F80" s="42">
        <f t="shared" si="12"/>
        <v>62139.067183050371</v>
      </c>
      <c r="G80" s="43">
        <f t="shared" si="11"/>
        <v>372.83440309830223</v>
      </c>
    </row>
    <row r="81" spans="2:7">
      <c r="B81" s="48">
        <f t="shared" si="13"/>
        <v>69</v>
      </c>
      <c r="C81" s="42">
        <f t="shared" si="9"/>
        <v>500</v>
      </c>
      <c r="D81" s="42">
        <f t="shared" si="7"/>
        <v>62139.067183050371</v>
      </c>
      <c r="E81" s="42">
        <f t="shared" si="10"/>
        <v>497.11253746440298</v>
      </c>
      <c r="F81" s="42">
        <f t="shared" si="12"/>
        <v>63136.179720514774</v>
      </c>
      <c r="G81" s="43">
        <f t="shared" si="11"/>
        <v>378.81707832308865</v>
      </c>
    </row>
    <row r="82" spans="2:7">
      <c r="B82" s="48">
        <f t="shared" si="13"/>
        <v>70</v>
      </c>
      <c r="C82" s="42">
        <f t="shared" si="9"/>
        <v>500</v>
      </c>
      <c r="D82" s="42">
        <f t="shared" si="7"/>
        <v>63136.179720514774</v>
      </c>
      <c r="E82" s="42">
        <f t="shared" si="10"/>
        <v>505.0894377641182</v>
      </c>
      <c r="F82" s="42">
        <f t="shared" si="12"/>
        <v>64141.26915827889</v>
      </c>
      <c r="G82" s="43">
        <f t="shared" si="11"/>
        <v>384.84761494967336</v>
      </c>
    </row>
    <row r="83" spans="2:7">
      <c r="B83" s="48">
        <f t="shared" si="13"/>
        <v>71</v>
      </c>
      <c r="C83" s="42">
        <f t="shared" si="9"/>
        <v>500</v>
      </c>
      <c r="D83" s="42">
        <f t="shared" si="7"/>
        <v>64141.26915827889</v>
      </c>
      <c r="E83" s="42">
        <f t="shared" si="10"/>
        <v>513.1301532662311</v>
      </c>
      <c r="F83" s="42">
        <f t="shared" si="12"/>
        <v>65154.399311545123</v>
      </c>
      <c r="G83" s="43">
        <f t="shared" si="11"/>
        <v>390.92639586927072</v>
      </c>
    </row>
    <row r="84" spans="2:7">
      <c r="B84" s="48">
        <f t="shared" si="13"/>
        <v>72</v>
      </c>
      <c r="C84" s="42">
        <f t="shared" si="9"/>
        <v>500</v>
      </c>
      <c r="D84" s="42">
        <f t="shared" si="7"/>
        <v>65154.399311545123</v>
      </c>
      <c r="E84" s="42">
        <f t="shared" si="10"/>
        <v>521.23519449236096</v>
      </c>
      <c r="F84" s="42">
        <f t="shared" si="12"/>
        <v>66175.634506037488</v>
      </c>
      <c r="G84" s="43">
        <f t="shared" si="11"/>
        <v>397.05380703622495</v>
      </c>
    </row>
    <row r="85" spans="2:7">
      <c r="B85" s="48">
        <f t="shared" si="13"/>
        <v>73</v>
      </c>
      <c r="C85" s="42">
        <f t="shared" si="9"/>
        <v>500</v>
      </c>
      <c r="D85" s="42">
        <f t="shared" si="7"/>
        <v>66175.634506037488</v>
      </c>
      <c r="E85" s="42">
        <f t="shared" si="10"/>
        <v>529.40507604829986</v>
      </c>
      <c r="F85" s="42">
        <f t="shared" si="12"/>
        <v>67205.039582085781</v>
      </c>
      <c r="G85" s="43">
        <f t="shared" si="11"/>
        <v>403.23023749251468</v>
      </c>
    </row>
    <row r="86" spans="2:7">
      <c r="B86" s="48">
        <f t="shared" si="13"/>
        <v>74</v>
      </c>
      <c r="C86" s="42">
        <f t="shared" si="9"/>
        <v>500</v>
      </c>
      <c r="D86" s="42">
        <f t="shared" si="7"/>
        <v>67205.039582085781</v>
      </c>
      <c r="E86" s="42">
        <f t="shared" si="10"/>
        <v>537.64031665668631</v>
      </c>
      <c r="F86" s="42">
        <f t="shared" si="12"/>
        <v>68242.67989874247</v>
      </c>
      <c r="G86" s="43">
        <f t="shared" si="11"/>
        <v>409.45607939245485</v>
      </c>
    </row>
    <row r="87" spans="2:7">
      <c r="B87" s="48">
        <f t="shared" si="13"/>
        <v>75</v>
      </c>
      <c r="C87" s="42">
        <f t="shared" si="9"/>
        <v>500</v>
      </c>
      <c r="D87" s="42">
        <f t="shared" si="7"/>
        <v>68242.67989874247</v>
      </c>
      <c r="E87" s="42">
        <f t="shared" si="10"/>
        <v>545.94143918993973</v>
      </c>
      <c r="F87" s="42">
        <f t="shared" si="12"/>
        <v>69288.621337932404</v>
      </c>
      <c r="G87" s="43">
        <f t="shared" si="11"/>
        <v>415.73172802759444</v>
      </c>
    </row>
    <row r="88" spans="2:7">
      <c r="B88" s="48">
        <f t="shared" si="13"/>
        <v>76</v>
      </c>
      <c r="C88" s="42">
        <f t="shared" si="9"/>
        <v>500</v>
      </c>
      <c r="D88" s="42">
        <f t="shared" si="7"/>
        <v>69288.621337932404</v>
      </c>
      <c r="E88" s="42">
        <f t="shared" si="10"/>
        <v>554.30897070345929</v>
      </c>
      <c r="F88" s="42">
        <f t="shared" si="12"/>
        <v>70342.930308635856</v>
      </c>
      <c r="G88" s="43">
        <f t="shared" si="11"/>
        <v>422.05758185181514</v>
      </c>
    </row>
    <row r="89" spans="2:7">
      <c r="B89" s="48">
        <f t="shared" si="13"/>
        <v>77</v>
      </c>
      <c r="C89" s="42">
        <f t="shared" si="9"/>
        <v>500</v>
      </c>
      <c r="D89" s="42">
        <f t="shared" si="7"/>
        <v>70342.930308635856</v>
      </c>
      <c r="E89" s="42">
        <f t="shared" si="10"/>
        <v>562.74344246908686</v>
      </c>
      <c r="F89" s="42">
        <f t="shared" si="12"/>
        <v>71405.673751104943</v>
      </c>
      <c r="G89" s="43">
        <f t="shared" si="11"/>
        <v>428.43404250662968</v>
      </c>
    </row>
    <row r="90" spans="2:7">
      <c r="B90" s="48">
        <f t="shared" si="13"/>
        <v>78</v>
      </c>
      <c r="C90" s="42">
        <f t="shared" si="9"/>
        <v>500</v>
      </c>
      <c r="D90" s="42">
        <f t="shared" si="7"/>
        <v>71405.673751104943</v>
      </c>
      <c r="E90" s="42">
        <f t="shared" si="10"/>
        <v>571.24539000883954</v>
      </c>
      <c r="F90" s="42">
        <f t="shared" si="12"/>
        <v>72476.919141113787</v>
      </c>
      <c r="G90" s="43">
        <f t="shared" si="11"/>
        <v>434.86151484668272</v>
      </c>
    </row>
    <row r="91" spans="2:7">
      <c r="B91" s="48">
        <f t="shared" si="13"/>
        <v>79</v>
      </c>
      <c r="C91" s="42">
        <f t="shared" si="9"/>
        <v>500</v>
      </c>
      <c r="D91" s="42">
        <f t="shared" si="7"/>
        <v>72476.919141113787</v>
      </c>
      <c r="E91" s="42">
        <f t="shared" si="10"/>
        <v>579.81535312891026</v>
      </c>
      <c r="F91" s="42">
        <f t="shared" si="12"/>
        <v>73556.734494242701</v>
      </c>
      <c r="G91" s="43">
        <f t="shared" si="11"/>
        <v>441.34040696545622</v>
      </c>
    </row>
    <row r="92" spans="2:7">
      <c r="B92" s="48">
        <f t="shared" si="13"/>
        <v>80</v>
      </c>
      <c r="C92" s="42">
        <f t="shared" si="9"/>
        <v>500</v>
      </c>
      <c r="D92" s="42">
        <f t="shared" si="7"/>
        <v>73556.734494242701</v>
      </c>
      <c r="E92" s="42">
        <f t="shared" si="10"/>
        <v>588.45387595394163</v>
      </c>
      <c r="F92" s="42">
        <f t="shared" si="12"/>
        <v>74645.188370196644</v>
      </c>
      <c r="G92" s="43">
        <f t="shared" si="11"/>
        <v>447.8711302211799</v>
      </c>
    </row>
    <row r="93" spans="2:7">
      <c r="B93" s="48">
        <f t="shared" si="13"/>
        <v>81</v>
      </c>
      <c r="C93" s="42">
        <f t="shared" si="9"/>
        <v>500</v>
      </c>
      <c r="D93" s="42">
        <f t="shared" si="7"/>
        <v>74645.188370196644</v>
      </c>
      <c r="E93" s="42">
        <f t="shared" si="10"/>
        <v>597.1615069615732</v>
      </c>
      <c r="F93" s="42">
        <f t="shared" si="12"/>
        <v>75742.349877158224</v>
      </c>
      <c r="G93" s="43">
        <f t="shared" si="11"/>
        <v>454.45409926294934</v>
      </c>
    </row>
    <row r="94" spans="2:7">
      <c r="B94" s="48">
        <f t="shared" si="13"/>
        <v>82</v>
      </c>
      <c r="C94" s="42">
        <f t="shared" si="9"/>
        <v>500</v>
      </c>
      <c r="D94" s="42">
        <f t="shared" si="7"/>
        <v>75742.349877158224</v>
      </c>
      <c r="E94" s="42">
        <f t="shared" si="10"/>
        <v>605.93879901726575</v>
      </c>
      <c r="F94" s="42">
        <f t="shared" si="12"/>
        <v>76848.288676175493</v>
      </c>
      <c r="G94" s="43">
        <f t="shared" si="11"/>
        <v>461.08973205705297</v>
      </c>
    </row>
    <row r="95" spans="2:7">
      <c r="B95" s="48">
        <f t="shared" si="13"/>
        <v>83</v>
      </c>
      <c r="C95" s="42">
        <f t="shared" si="9"/>
        <v>500</v>
      </c>
      <c r="D95" s="42">
        <f t="shared" ref="D95:D132" si="14">$F94</f>
        <v>76848.288676175493</v>
      </c>
      <c r="E95" s="42">
        <f t="shared" si="10"/>
        <v>614.786309409404</v>
      </c>
      <c r="F95" s="42">
        <f t="shared" si="12"/>
        <v>77963.074985584899</v>
      </c>
      <c r="G95" s="43">
        <f t="shared" si="11"/>
        <v>467.77844991350941</v>
      </c>
    </row>
    <row r="96" spans="2:7">
      <c r="B96" s="48">
        <f t="shared" si="13"/>
        <v>84</v>
      </c>
      <c r="C96" s="42">
        <f t="shared" si="9"/>
        <v>500</v>
      </c>
      <c r="D96" s="42">
        <f t="shared" si="14"/>
        <v>77963.074985584899</v>
      </c>
      <c r="E96" s="42">
        <f t="shared" si="10"/>
        <v>623.70459988467917</v>
      </c>
      <c r="F96" s="42">
        <f t="shared" si="12"/>
        <v>79086.779585469572</v>
      </c>
      <c r="G96" s="43">
        <f t="shared" si="11"/>
        <v>474.52067751281743</v>
      </c>
    </row>
    <row r="97" spans="2:7">
      <c r="B97" s="48">
        <f t="shared" si="13"/>
        <v>85</v>
      </c>
      <c r="C97" s="42">
        <f t="shared" si="9"/>
        <v>500</v>
      </c>
      <c r="D97" s="42">
        <f t="shared" si="14"/>
        <v>79086.779585469572</v>
      </c>
      <c r="E97" s="42">
        <f t="shared" si="10"/>
        <v>632.69423668375657</v>
      </c>
      <c r="F97" s="42">
        <f t="shared" si="12"/>
        <v>80219.473822153333</v>
      </c>
      <c r="G97" s="43">
        <f t="shared" si="11"/>
        <v>481.31684293292</v>
      </c>
    </row>
    <row r="98" spans="2:7">
      <c r="B98" s="48">
        <f t="shared" si="13"/>
        <v>86</v>
      </c>
      <c r="C98" s="42">
        <f t="shared" si="9"/>
        <v>500</v>
      </c>
      <c r="D98" s="42">
        <f t="shared" si="14"/>
        <v>80219.473822153333</v>
      </c>
      <c r="E98" s="42">
        <f t="shared" si="10"/>
        <v>641.75579057722666</v>
      </c>
      <c r="F98" s="42">
        <f t="shared" si="12"/>
        <v>81361.22961273056</v>
      </c>
      <c r="G98" s="43">
        <f t="shared" si="11"/>
        <v>488.16737767638335</v>
      </c>
    </row>
    <row r="99" spans="2:7">
      <c r="B99" s="48">
        <f t="shared" si="13"/>
        <v>87</v>
      </c>
      <c r="C99" s="42">
        <f t="shared" si="9"/>
        <v>500</v>
      </c>
      <c r="D99" s="42">
        <f t="shared" si="14"/>
        <v>81361.22961273056</v>
      </c>
      <c r="E99" s="42">
        <f t="shared" si="10"/>
        <v>650.88983690184455</v>
      </c>
      <c r="F99" s="42">
        <f t="shared" si="12"/>
        <v>82512.119449632402</v>
      </c>
      <c r="G99" s="43">
        <f t="shared" si="11"/>
        <v>495.07271669779442</v>
      </c>
    </row>
    <row r="100" spans="2:7">
      <c r="B100" s="48">
        <f t="shared" si="13"/>
        <v>88</v>
      </c>
      <c r="C100" s="42">
        <f t="shared" si="9"/>
        <v>500</v>
      </c>
      <c r="D100" s="42">
        <f t="shared" si="14"/>
        <v>82512.119449632402</v>
      </c>
      <c r="E100" s="42">
        <f t="shared" si="10"/>
        <v>660.09695559705926</v>
      </c>
      <c r="F100" s="42">
        <f t="shared" si="12"/>
        <v>83672.216405229468</v>
      </c>
      <c r="G100" s="43">
        <f t="shared" si="11"/>
        <v>502.03329843137681</v>
      </c>
    </row>
    <row r="101" spans="2:7">
      <c r="B101" s="48">
        <f t="shared" si="13"/>
        <v>89</v>
      </c>
      <c r="C101" s="42">
        <f t="shared" si="9"/>
        <v>500</v>
      </c>
      <c r="D101" s="42">
        <f t="shared" si="14"/>
        <v>83672.216405229468</v>
      </c>
      <c r="E101" s="42">
        <f t="shared" si="10"/>
        <v>669.3777312418357</v>
      </c>
      <c r="F101" s="42">
        <f t="shared" si="12"/>
        <v>84841.594136471307</v>
      </c>
      <c r="G101" s="43">
        <f t="shared" si="11"/>
        <v>509.04956481882783</v>
      </c>
    </row>
    <row r="102" spans="2:7">
      <c r="B102" s="48">
        <f t="shared" si="13"/>
        <v>90</v>
      </c>
      <c r="C102" s="42">
        <f t="shared" si="9"/>
        <v>500</v>
      </c>
      <c r="D102" s="42">
        <f t="shared" si="14"/>
        <v>84841.594136471307</v>
      </c>
      <c r="E102" s="42">
        <f t="shared" si="10"/>
        <v>678.73275309177052</v>
      </c>
      <c r="F102" s="42">
        <f t="shared" si="12"/>
        <v>86020.326889563075</v>
      </c>
      <c r="G102" s="43">
        <f t="shared" si="11"/>
        <v>516.12196133737848</v>
      </c>
    </row>
    <row r="103" spans="2:7">
      <c r="B103" s="48">
        <f t="shared" si="13"/>
        <v>91</v>
      </c>
      <c r="C103" s="42">
        <f t="shared" si="9"/>
        <v>500</v>
      </c>
      <c r="D103" s="42">
        <f t="shared" si="14"/>
        <v>86020.326889563075</v>
      </c>
      <c r="E103" s="42">
        <f t="shared" si="10"/>
        <v>688.16261511650464</v>
      </c>
      <c r="F103" s="42">
        <f t="shared" si="12"/>
        <v>87208.489504679586</v>
      </c>
      <c r="G103" s="43">
        <f t="shared" si="11"/>
        <v>523.25093702807749</v>
      </c>
    </row>
    <row r="104" spans="2:7">
      <c r="B104" s="48">
        <f t="shared" si="13"/>
        <v>92</v>
      </c>
      <c r="C104" s="42">
        <f t="shared" si="9"/>
        <v>500</v>
      </c>
      <c r="D104" s="42">
        <f t="shared" si="14"/>
        <v>87208.489504679586</v>
      </c>
      <c r="E104" s="42">
        <f t="shared" si="10"/>
        <v>697.66791603743673</v>
      </c>
      <c r="F104" s="42">
        <f t="shared" si="12"/>
        <v>88406.15742071702</v>
      </c>
      <c r="G104" s="43">
        <f t="shared" si="11"/>
        <v>530.43694452430213</v>
      </c>
    </row>
    <row r="105" spans="2:7">
      <c r="B105" s="48">
        <f t="shared" si="13"/>
        <v>93</v>
      </c>
      <c r="C105" s="42">
        <f t="shared" si="9"/>
        <v>500</v>
      </c>
      <c r="D105" s="42">
        <f t="shared" si="14"/>
        <v>88406.15742071702</v>
      </c>
      <c r="E105" s="42">
        <f t="shared" si="10"/>
        <v>707.24925936573618</v>
      </c>
      <c r="F105" s="42">
        <f t="shared" si="12"/>
        <v>89613.406680082757</v>
      </c>
      <c r="G105" s="43">
        <f t="shared" si="11"/>
        <v>537.68044008049651</v>
      </c>
    </row>
    <row r="106" spans="2:7">
      <c r="B106" s="48">
        <f t="shared" si="13"/>
        <v>94</v>
      </c>
      <c r="C106" s="42">
        <f t="shared" si="9"/>
        <v>500</v>
      </c>
      <c r="D106" s="42">
        <f t="shared" si="14"/>
        <v>89613.406680082757</v>
      </c>
      <c r="E106" s="42">
        <f t="shared" si="10"/>
        <v>716.90725344066209</v>
      </c>
      <c r="F106" s="42">
        <f t="shared" si="12"/>
        <v>90830.313933523415</v>
      </c>
      <c r="G106" s="43">
        <f t="shared" si="11"/>
        <v>544.98188360114045</v>
      </c>
    </row>
    <row r="107" spans="2:7">
      <c r="B107" s="48">
        <f t="shared" si="13"/>
        <v>95</v>
      </c>
      <c r="C107" s="42">
        <f t="shared" si="9"/>
        <v>500</v>
      </c>
      <c r="D107" s="42">
        <f t="shared" si="14"/>
        <v>90830.313933523415</v>
      </c>
      <c r="E107" s="42">
        <f t="shared" si="10"/>
        <v>726.64251146818731</v>
      </c>
      <c r="F107" s="42">
        <f t="shared" si="12"/>
        <v>92056.956444991607</v>
      </c>
      <c r="G107" s="43">
        <f t="shared" si="11"/>
        <v>552.34173866994968</v>
      </c>
    </row>
    <row r="108" spans="2:7">
      <c r="B108" s="48">
        <f t="shared" si="13"/>
        <v>96</v>
      </c>
      <c r="C108" s="42">
        <f t="shared" si="9"/>
        <v>500</v>
      </c>
      <c r="D108" s="42">
        <f t="shared" si="14"/>
        <v>92056.956444991607</v>
      </c>
      <c r="E108" s="42">
        <f t="shared" si="10"/>
        <v>736.4556515599329</v>
      </c>
      <c r="F108" s="42">
        <f t="shared" si="12"/>
        <v>93293.412096551547</v>
      </c>
      <c r="G108" s="43">
        <f t="shared" si="11"/>
        <v>559.76047257930929</v>
      </c>
    </row>
    <row r="109" spans="2:7">
      <c r="B109" s="48">
        <f t="shared" si="13"/>
        <v>97</v>
      </c>
      <c r="C109" s="42">
        <f t="shared" ref="C109:C132" si="15">aporte_mensal</f>
        <v>500</v>
      </c>
      <c r="D109" s="42">
        <f t="shared" si="14"/>
        <v>93293.412096551547</v>
      </c>
      <c r="E109" s="42">
        <f t="shared" ref="E109:E132" si="16">D109*taxa</f>
        <v>746.34729677241239</v>
      </c>
      <c r="F109" s="42">
        <f t="shared" si="12"/>
        <v>94539.759393323955</v>
      </c>
      <c r="G109" s="43">
        <f t="shared" ref="G109:G131" si="17">F109*rendimento_carteira</f>
        <v>567.23855635994369</v>
      </c>
    </row>
    <row r="110" spans="2:7">
      <c r="B110" s="48">
        <f t="shared" si="13"/>
        <v>98</v>
      </c>
      <c r="C110" s="42">
        <f t="shared" si="15"/>
        <v>500</v>
      </c>
      <c r="D110" s="42">
        <f t="shared" si="14"/>
        <v>94539.759393323955</v>
      </c>
      <c r="E110" s="42">
        <f t="shared" si="16"/>
        <v>756.3180751465917</v>
      </c>
      <c r="F110" s="42">
        <f t="shared" si="12"/>
        <v>95796.077468470554</v>
      </c>
      <c r="G110" s="43">
        <f t="shared" si="17"/>
        <v>574.77646481082331</v>
      </c>
    </row>
    <row r="111" spans="2:7">
      <c r="B111" s="48">
        <f t="shared" si="13"/>
        <v>99</v>
      </c>
      <c r="C111" s="42">
        <f t="shared" si="15"/>
        <v>500</v>
      </c>
      <c r="D111" s="42">
        <f t="shared" si="14"/>
        <v>95796.077468470554</v>
      </c>
      <c r="E111" s="42">
        <f t="shared" si="16"/>
        <v>766.36861974776446</v>
      </c>
      <c r="F111" s="42">
        <f t="shared" si="12"/>
        <v>97062.446088218319</v>
      </c>
      <c r="G111" s="43">
        <f t="shared" si="17"/>
        <v>582.37467652930991</v>
      </c>
    </row>
    <row r="112" spans="2:7">
      <c r="B112" s="48">
        <f t="shared" si="13"/>
        <v>100</v>
      </c>
      <c r="C112" s="42">
        <f t="shared" si="15"/>
        <v>500</v>
      </c>
      <c r="D112" s="42">
        <f t="shared" si="14"/>
        <v>97062.446088218319</v>
      </c>
      <c r="E112" s="42">
        <f t="shared" si="16"/>
        <v>776.49956870574658</v>
      </c>
      <c r="F112" s="42">
        <f t="shared" si="12"/>
        <v>98338.945656924072</v>
      </c>
      <c r="G112" s="43">
        <f t="shared" si="17"/>
        <v>590.03367394154441</v>
      </c>
    </row>
    <row r="113" spans="2:7">
      <c r="B113" s="48">
        <f t="shared" si="13"/>
        <v>101</v>
      </c>
      <c r="C113" s="42">
        <f t="shared" si="15"/>
        <v>500</v>
      </c>
      <c r="D113" s="42">
        <f t="shared" si="14"/>
        <v>98338.945656924072</v>
      </c>
      <c r="E113" s="42">
        <f t="shared" si="16"/>
        <v>786.71156525539254</v>
      </c>
      <c r="F113" s="42">
        <f t="shared" si="12"/>
        <v>99625.657222179463</v>
      </c>
      <c r="G113" s="43">
        <f t="shared" si="17"/>
        <v>597.75394333307679</v>
      </c>
    </row>
    <row r="114" spans="2:7">
      <c r="B114" s="48">
        <f t="shared" si="13"/>
        <v>102</v>
      </c>
      <c r="C114" s="42">
        <f t="shared" si="15"/>
        <v>500</v>
      </c>
      <c r="D114" s="42">
        <f t="shared" si="14"/>
        <v>99625.657222179463</v>
      </c>
      <c r="E114" s="42">
        <f t="shared" si="16"/>
        <v>797.00525777743576</v>
      </c>
      <c r="F114" s="42">
        <f t="shared" si="12"/>
        <v>100922.6624799569</v>
      </c>
      <c r="G114" s="43">
        <f t="shared" si="17"/>
        <v>605.53597487974139</v>
      </c>
    </row>
    <row r="115" spans="2:7">
      <c r="B115" s="48">
        <f t="shared" si="13"/>
        <v>103</v>
      </c>
      <c r="C115" s="42">
        <f t="shared" si="15"/>
        <v>500</v>
      </c>
      <c r="D115" s="42">
        <f t="shared" si="14"/>
        <v>100922.6624799569</v>
      </c>
      <c r="E115" s="42">
        <f t="shared" si="16"/>
        <v>807.38129983965518</v>
      </c>
      <c r="F115" s="42">
        <f t="shared" si="12"/>
        <v>102230.04377979656</v>
      </c>
      <c r="G115" s="43">
        <f t="shared" si="17"/>
        <v>613.38026267877933</v>
      </c>
    </row>
    <row r="116" spans="2:7">
      <c r="B116" s="48">
        <f t="shared" si="13"/>
        <v>104</v>
      </c>
      <c r="C116" s="42">
        <f t="shared" si="15"/>
        <v>500</v>
      </c>
      <c r="D116" s="42">
        <f t="shared" si="14"/>
        <v>102230.04377979656</v>
      </c>
      <c r="E116" s="42">
        <f t="shared" si="16"/>
        <v>817.84035023837248</v>
      </c>
      <c r="F116" s="42">
        <f t="shared" si="12"/>
        <v>103547.88413003493</v>
      </c>
      <c r="G116" s="43">
        <f t="shared" si="17"/>
        <v>621.28730478020964</v>
      </c>
    </row>
    <row r="117" spans="2:7">
      <c r="B117" s="48">
        <f t="shared" si="13"/>
        <v>105</v>
      </c>
      <c r="C117" s="42">
        <f t="shared" si="15"/>
        <v>500</v>
      </c>
      <c r="D117" s="42">
        <f t="shared" si="14"/>
        <v>103547.88413003493</v>
      </c>
      <c r="E117" s="42">
        <f t="shared" si="16"/>
        <v>828.38307304027944</v>
      </c>
      <c r="F117" s="42">
        <f t="shared" si="12"/>
        <v>104876.26720307521</v>
      </c>
      <c r="G117" s="43">
        <f t="shared" si="17"/>
        <v>629.25760321845132</v>
      </c>
    </row>
    <row r="118" spans="2:7">
      <c r="B118" s="48">
        <f t="shared" si="13"/>
        <v>106</v>
      </c>
      <c r="C118" s="42">
        <f t="shared" si="15"/>
        <v>500</v>
      </c>
      <c r="D118" s="42">
        <f t="shared" si="14"/>
        <v>104876.26720307521</v>
      </c>
      <c r="E118" s="42">
        <f t="shared" si="16"/>
        <v>839.01013762460173</v>
      </c>
      <c r="F118" s="42">
        <f t="shared" si="12"/>
        <v>106215.27734069982</v>
      </c>
      <c r="G118" s="43">
        <f t="shared" si="17"/>
        <v>637.29166404419891</v>
      </c>
    </row>
    <row r="119" spans="2:7">
      <c r="B119" s="48">
        <f t="shared" si="13"/>
        <v>107</v>
      </c>
      <c r="C119" s="42">
        <f t="shared" si="15"/>
        <v>500</v>
      </c>
      <c r="D119" s="42">
        <f t="shared" si="14"/>
        <v>106215.27734069982</v>
      </c>
      <c r="E119" s="42">
        <f t="shared" si="16"/>
        <v>849.72221872559851</v>
      </c>
      <c r="F119" s="42">
        <f t="shared" si="12"/>
        <v>107564.99955942541</v>
      </c>
      <c r="G119" s="43">
        <f t="shared" si="17"/>
        <v>645.3899973565525</v>
      </c>
    </row>
    <row r="120" spans="2:7">
      <c r="B120" s="48">
        <f t="shared" si="13"/>
        <v>108</v>
      </c>
      <c r="C120" s="42">
        <f t="shared" si="15"/>
        <v>500</v>
      </c>
      <c r="D120" s="42">
        <f t="shared" si="14"/>
        <v>107564.99955942541</v>
      </c>
      <c r="E120" s="42">
        <f t="shared" si="16"/>
        <v>860.51999647540333</v>
      </c>
      <c r="F120" s="42">
        <f t="shared" si="12"/>
        <v>108925.51955590081</v>
      </c>
      <c r="G120" s="43">
        <f t="shared" si="17"/>
        <v>653.55311733540486</v>
      </c>
    </row>
    <row r="121" spans="2:7">
      <c r="B121" s="48">
        <f t="shared" si="13"/>
        <v>109</v>
      </c>
      <c r="C121" s="42">
        <f t="shared" si="15"/>
        <v>500</v>
      </c>
      <c r="D121" s="42">
        <f t="shared" si="14"/>
        <v>108925.51955590081</v>
      </c>
      <c r="E121" s="42">
        <f t="shared" si="16"/>
        <v>871.40415644720656</v>
      </c>
      <c r="F121" s="42">
        <f t="shared" si="12"/>
        <v>110296.92371234803</v>
      </c>
      <c r="G121" s="43">
        <f t="shared" si="17"/>
        <v>661.78154227408822</v>
      </c>
    </row>
    <row r="122" spans="2:7">
      <c r="B122" s="48">
        <f t="shared" si="13"/>
        <v>110</v>
      </c>
      <c r="C122" s="42">
        <f t="shared" si="15"/>
        <v>500</v>
      </c>
      <c r="D122" s="42">
        <f t="shared" si="14"/>
        <v>110296.92371234803</v>
      </c>
      <c r="E122" s="42">
        <f t="shared" si="16"/>
        <v>882.37538969878426</v>
      </c>
      <c r="F122" s="42">
        <f t="shared" si="12"/>
        <v>111679.29910204682</v>
      </c>
      <c r="G122" s="43">
        <f t="shared" si="17"/>
        <v>670.0757946122809</v>
      </c>
    </row>
    <row r="123" spans="2:7">
      <c r="B123" s="48">
        <f t="shared" si="13"/>
        <v>111</v>
      </c>
      <c r="C123" s="42">
        <f t="shared" si="15"/>
        <v>500</v>
      </c>
      <c r="D123" s="42">
        <f t="shared" si="14"/>
        <v>111679.29910204682</v>
      </c>
      <c r="E123" s="42">
        <f t="shared" si="16"/>
        <v>893.43439281637461</v>
      </c>
      <c r="F123" s="42">
        <f t="shared" si="12"/>
        <v>113072.73349486319</v>
      </c>
      <c r="G123" s="43">
        <f t="shared" si="17"/>
        <v>678.4364009691792</v>
      </c>
    </row>
    <row r="124" spans="2:7">
      <c r="B124" s="48">
        <f t="shared" si="13"/>
        <v>112</v>
      </c>
      <c r="C124" s="42">
        <f t="shared" si="15"/>
        <v>500</v>
      </c>
      <c r="D124" s="42">
        <f t="shared" si="14"/>
        <v>113072.73349486319</v>
      </c>
      <c r="E124" s="42">
        <f t="shared" si="16"/>
        <v>904.58186795890549</v>
      </c>
      <c r="F124" s="42">
        <f t="shared" si="12"/>
        <v>114477.31536282209</v>
      </c>
      <c r="G124" s="43">
        <f t="shared" si="17"/>
        <v>686.86389217693261</v>
      </c>
    </row>
    <row r="125" spans="2:7">
      <c r="B125" s="48">
        <f t="shared" si="13"/>
        <v>113</v>
      </c>
      <c r="C125" s="42">
        <f t="shared" si="15"/>
        <v>500</v>
      </c>
      <c r="D125" s="42">
        <f t="shared" si="14"/>
        <v>114477.31536282209</v>
      </c>
      <c r="E125" s="42">
        <f t="shared" si="16"/>
        <v>915.81852290257677</v>
      </c>
      <c r="F125" s="42">
        <f t="shared" si="12"/>
        <v>115893.13388572467</v>
      </c>
      <c r="G125" s="43">
        <f t="shared" si="17"/>
        <v>695.35880331434805</v>
      </c>
    </row>
    <row r="126" spans="2:7">
      <c r="B126" s="48">
        <f t="shared" si="13"/>
        <v>114</v>
      </c>
      <c r="C126" s="42">
        <f t="shared" si="15"/>
        <v>500</v>
      </c>
      <c r="D126" s="42">
        <f t="shared" si="14"/>
        <v>115893.13388572467</v>
      </c>
      <c r="E126" s="42">
        <f t="shared" si="16"/>
        <v>927.14507108579744</v>
      </c>
      <c r="F126" s="42">
        <f t="shared" si="12"/>
        <v>117320.27895681048</v>
      </c>
      <c r="G126" s="43">
        <f t="shared" si="17"/>
        <v>703.92167374086284</v>
      </c>
    </row>
    <row r="127" spans="2:7">
      <c r="B127" s="48">
        <f t="shared" si="13"/>
        <v>115</v>
      </c>
      <c r="C127" s="42">
        <f t="shared" si="15"/>
        <v>500</v>
      </c>
      <c r="D127" s="42">
        <f t="shared" si="14"/>
        <v>117320.27895681048</v>
      </c>
      <c r="E127" s="42">
        <f t="shared" si="16"/>
        <v>938.56223165448387</v>
      </c>
      <c r="F127" s="42">
        <f t="shared" si="12"/>
        <v>118758.84118846497</v>
      </c>
      <c r="G127" s="43">
        <f t="shared" si="17"/>
        <v>712.55304713078988</v>
      </c>
    </row>
    <row r="128" spans="2:7">
      <c r="B128" s="48">
        <f t="shared" si="13"/>
        <v>116</v>
      </c>
      <c r="C128" s="42">
        <f t="shared" si="15"/>
        <v>500</v>
      </c>
      <c r="D128" s="42">
        <f t="shared" si="14"/>
        <v>118758.84118846497</v>
      </c>
      <c r="E128" s="42">
        <f t="shared" si="16"/>
        <v>950.07072950771976</v>
      </c>
      <c r="F128" s="42">
        <f t="shared" si="12"/>
        <v>120208.91191797268</v>
      </c>
      <c r="G128" s="43">
        <f t="shared" si="17"/>
        <v>721.25347150783614</v>
      </c>
    </row>
    <row r="129" spans="2:12">
      <c r="B129" s="48">
        <f t="shared" si="13"/>
        <v>117</v>
      </c>
      <c r="C129" s="42">
        <f t="shared" si="15"/>
        <v>500</v>
      </c>
      <c r="D129" s="42">
        <f t="shared" si="14"/>
        <v>120208.91191797268</v>
      </c>
      <c r="E129" s="42">
        <f t="shared" si="16"/>
        <v>961.67129534378148</v>
      </c>
      <c r="F129" s="42">
        <f t="shared" si="12"/>
        <v>121670.58321331647</v>
      </c>
      <c r="G129" s="43">
        <f t="shared" si="17"/>
        <v>730.02349927989883</v>
      </c>
    </row>
    <row r="130" spans="2:12">
      <c r="B130" s="48">
        <f t="shared" si="13"/>
        <v>118</v>
      </c>
      <c r="C130" s="42">
        <f t="shared" si="15"/>
        <v>500</v>
      </c>
      <c r="D130" s="42">
        <f t="shared" si="14"/>
        <v>121670.58321331647</v>
      </c>
      <c r="E130" s="42">
        <f t="shared" si="16"/>
        <v>973.3646657065317</v>
      </c>
      <c r="F130" s="42">
        <f t="shared" si="12"/>
        <v>123143.94787902299</v>
      </c>
      <c r="G130" s="43">
        <f>F130*rendimento_carteira</f>
        <v>738.86368727413799</v>
      </c>
    </row>
    <row r="131" spans="2:12">
      <c r="B131" s="48">
        <f t="shared" si="13"/>
        <v>119</v>
      </c>
      <c r="C131" s="42">
        <f t="shared" si="15"/>
        <v>500</v>
      </c>
      <c r="D131" s="42">
        <f t="shared" si="14"/>
        <v>123143.94787902299</v>
      </c>
      <c r="E131" s="42">
        <f t="shared" si="16"/>
        <v>985.15158303218391</v>
      </c>
      <c r="F131" s="42">
        <f t="shared" si="12"/>
        <v>124629.09946205518</v>
      </c>
      <c r="G131" s="43">
        <f t="shared" si="17"/>
        <v>747.77459677233105</v>
      </c>
    </row>
    <row r="132" spans="2:12" s="38" customFormat="1" ht="15.75" thickBot="1">
      <c r="B132" s="49">
        <f>B131+1</f>
        <v>120</v>
      </c>
      <c r="C132" s="44">
        <f t="shared" si="15"/>
        <v>500</v>
      </c>
      <c r="D132" s="44">
        <f t="shared" si="14"/>
        <v>124629.09946205518</v>
      </c>
      <c r="E132" s="44">
        <f t="shared" si="16"/>
        <v>997.03279569644144</v>
      </c>
      <c r="F132" s="44">
        <f>C132+D132+E132</f>
        <v>126126.13225775163</v>
      </c>
      <c r="G132" s="45">
        <f>F132*rendimento_carteira</f>
        <v>756.75679354650981</v>
      </c>
    </row>
    <row r="133" spans="2:12" s="38" customFormat="1">
      <c r="B133" s="50"/>
      <c r="C133" s="8"/>
      <c r="D133" s="8"/>
      <c r="E133" s="8"/>
      <c r="F133" s="8"/>
      <c r="G133" s="8"/>
    </row>
    <row r="134" spans="2:12" s="38" customFormat="1">
      <c r="B134" s="50"/>
      <c r="C134" s="8"/>
      <c r="D134" s="8"/>
      <c r="E134" s="8"/>
      <c r="F134" s="8"/>
      <c r="G134" s="8"/>
    </row>
    <row r="135" spans="2:12" s="38" customFormat="1">
      <c r="B135" s="50"/>
      <c r="C135" s="8"/>
      <c r="D135" s="8"/>
      <c r="E135" s="8"/>
      <c r="F135" s="8"/>
      <c r="G135" s="8"/>
    </row>
    <row r="136" spans="2:12" s="38" customFormat="1">
      <c r="B136" s="46"/>
      <c r="C136" s="8"/>
      <c r="D136" s="8"/>
      <c r="E136" s="8"/>
      <c r="F136" s="8"/>
      <c r="G136" s="8"/>
    </row>
    <row r="137" spans="2:12" s="38" customFormat="1">
      <c r="B137" s="46"/>
      <c r="C137" s="8"/>
      <c r="D137" s="8"/>
      <c r="E137" s="8"/>
      <c r="F137" s="8"/>
      <c r="G137" s="8"/>
    </row>
    <row r="138" spans="2:12" s="38" customFormat="1">
      <c r="B138" s="46"/>
      <c r="C138" s="8"/>
      <c r="D138" s="8"/>
      <c r="E138" s="8"/>
      <c r="F138" s="8"/>
      <c r="G138" s="8"/>
    </row>
    <row r="139" spans="2:12" s="38" customFormat="1">
      <c r="B139" s="46"/>
      <c r="C139" s="8"/>
      <c r="D139" s="8"/>
      <c r="E139" s="8"/>
      <c r="F139" s="8"/>
      <c r="G139" s="8"/>
    </row>
    <row r="140" spans="2:12" s="38" customFormat="1">
      <c r="B140" s="47"/>
    </row>
    <row r="144" spans="2:12" hidden="1">
      <c r="L144" t="s">
        <v>23</v>
      </c>
    </row>
  </sheetData>
  <mergeCells count="1">
    <mergeCell ref="B10:G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Entrada</vt:lpstr>
      <vt:lpstr>Simulacao</vt:lpstr>
      <vt:lpstr>aporte_mensal</vt:lpstr>
      <vt:lpstr>meses</vt:lpstr>
      <vt:lpstr>patrimonio_acumulado</vt:lpstr>
      <vt:lpstr>rendimento_carteira</vt:lpstr>
      <vt:lpstr>taxa</vt:lpstr>
      <vt:lpstr>valor_inicial</vt:lpstr>
      <vt:lpstr>ValorTotalInvestido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Argemiro</dc:creator>
  <cp:lastModifiedBy>Silvana Argemiro</cp:lastModifiedBy>
  <dcterms:created xsi:type="dcterms:W3CDTF">2025-12-29T14:39:32Z</dcterms:created>
  <dcterms:modified xsi:type="dcterms:W3CDTF">2025-12-31T23:18:12Z</dcterms:modified>
</cp:coreProperties>
</file>